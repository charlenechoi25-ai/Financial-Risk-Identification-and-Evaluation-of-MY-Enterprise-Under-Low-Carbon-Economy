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160" windowHeight="11480" tabRatio="600" firstSheet="0" activeTab="3" autoFilterDateGrouping="1"/>
  </bookViews>
  <sheets>
    <sheet name="00_说明与来源" sheetId="1" state="visible" r:id="rId1"/>
    <sheet name="01_盈利-现金核心序列" sheetId="2" state="visible" r:id="rId2"/>
    <sheet name="02_经营现金收付结构" sheetId="3" state="visible" r:id="rId3"/>
    <sheet name="03_经营性资产负债占用" sheetId="4" state="visible" r:id="rId4"/>
    <sheet name="04_营运资金周转效率" sheetId="5" state="visible" r:id="rId5"/>
    <sheet name="05_融资结构与财务弹性" sheetId="6" state="visible" r:id="rId6"/>
    <sheet name="06_投资扩张与资金用途" sheetId="7" state="visible" r:id="rId7"/>
    <sheet name="07_页码索引" sheetId="8" state="visible" r:id="rId8"/>
    <sheet name="08_本轮修正与待核对" sheetId="9" state="visible" r:id="rId9"/>
    <sheet name="09_原公式缓存仅供对照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\(#,##0.00\);\-"/>
    <numFmt numFmtId="165" formatCode="0.0"/>
    <numFmt numFmtId="166" formatCode="#,##0.00;\-0.00"/>
  </numFmts>
  <fonts count="32">
    <font>
      <name val="等线"/>
      <charset val="134"/>
      <color theme="1"/>
      <sz val="11"/>
      <scheme val="minor"/>
    </font>
    <font>
      <name val="Noto Sans CJK SC"/>
      <charset val="134"/>
      <b val="1"/>
      <color rgb="FFFFFFFF"/>
      <sz val="13"/>
    </font>
    <font>
      <name val="Noto Sans CJK SC"/>
      <charset val="134"/>
      <b val="1"/>
      <color rgb="FFFFFFFF"/>
      <sz val="10"/>
    </font>
    <font>
      <name val="Calibri"/>
      <charset val="134"/>
      <b val="1"/>
      <color rgb="FFFFFFFF"/>
      <sz val="10"/>
    </font>
    <font>
      <name val="Noto Sans CJK SC"/>
      <charset val="134"/>
      <color rgb="FF000000"/>
      <sz val="10"/>
    </font>
    <font>
      <name val="Calibri"/>
      <charset val="134"/>
      <color rgb="FF000000"/>
      <sz val="11"/>
    </font>
    <font>
      <name val="Noto Sans CJK SC"/>
      <charset val="134"/>
      <i val="1"/>
      <color rgb="FF808080"/>
      <sz val="10"/>
    </font>
    <font>
      <name val="Noto Sans CJK SC"/>
      <charset val="134"/>
      <b val="1"/>
      <color rgb="FF000000"/>
      <sz val="10"/>
    </font>
    <font>
      <name val="Calibri"/>
      <charset val="134"/>
      <b val="1"/>
      <color rgb="FF000000"/>
      <sz val="10"/>
    </font>
    <font>
      <name val="Noto Sans CJK SC"/>
      <charset val="134"/>
      <color rgb="FF000000"/>
      <sz val="11"/>
    </font>
    <font>
      <name val="Calibri"/>
      <charset val="134"/>
      <color rgb="FF000000"/>
      <sz val="10"/>
    </font>
    <font>
      <name val="Calibri"/>
      <charset val="134"/>
      <i val="1"/>
      <color rgb="FF80808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b val="1"/>
      <color rgb="FFFFFFFF"/>
      <sz val="13"/>
    </font>
  </fonts>
  <fills count="36">
    <fill>
      <patternFill/>
    </fill>
    <fill>
      <patternFill patternType="gray125"/>
    </fill>
    <fill>
      <patternFill patternType="solid">
        <fgColor rgb="FF0F3B5D"/>
        <bgColor indexed="64"/>
      </patternFill>
    </fill>
    <fill>
      <patternFill patternType="solid">
        <fgColor rgb="FF3288B9"/>
        <bgColor indexed="64"/>
      </patternFill>
    </fill>
    <fill>
      <patternFill patternType="solid">
        <fgColor rgb="FFCFE3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0" fillId="5" borderId="1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2" applyAlignment="1">
      <alignment vertical="center"/>
    </xf>
    <xf numFmtId="0" fontId="18" fillId="0" borderId="2" applyAlignment="1">
      <alignment vertical="center"/>
    </xf>
    <xf numFmtId="0" fontId="19" fillId="0" borderId="3" applyAlignment="1">
      <alignment vertical="center"/>
    </xf>
    <xf numFmtId="0" fontId="19" fillId="0" borderId="0" applyAlignment="1">
      <alignment vertical="center"/>
    </xf>
    <xf numFmtId="0" fontId="20" fillId="6" borderId="4" applyAlignment="1">
      <alignment vertical="center"/>
    </xf>
    <xf numFmtId="0" fontId="21" fillId="7" borderId="5" applyAlignment="1">
      <alignment vertical="center"/>
    </xf>
    <xf numFmtId="0" fontId="22" fillId="7" borderId="4" applyAlignment="1">
      <alignment vertical="center"/>
    </xf>
    <xf numFmtId="0" fontId="23" fillId="8" borderId="6" applyAlignment="1">
      <alignment vertical="center"/>
    </xf>
    <xf numFmtId="0" fontId="24" fillId="0" borderId="7" applyAlignment="1">
      <alignment vertical="center"/>
    </xf>
    <xf numFmtId="0" fontId="25" fillId="0" borderId="8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0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0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30" fillId="21" borderId="0" applyAlignment="1">
      <alignment vertical="center"/>
    </xf>
    <xf numFmtId="0" fontId="30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30" fillId="25" borderId="0" applyAlignment="1">
      <alignment vertical="center"/>
    </xf>
    <xf numFmtId="0" fontId="30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30" fillId="29" borderId="0" applyAlignment="1">
      <alignment vertical="center"/>
    </xf>
    <xf numFmtId="0" fontId="30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30" fillId="33" borderId="0" applyAlignment="1">
      <alignment vertical="center"/>
    </xf>
    <xf numFmtId="0" fontId="30" fillId="34" borderId="0" applyAlignment="1">
      <alignment vertical="center"/>
    </xf>
    <xf numFmtId="0" fontId="29" fillId="35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2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10" fillId="0" borderId="0" pivotButton="0" quotePrefix="0" xfId="0"/>
    <xf numFmtId="165" fontId="5" fillId="0" borderId="0" pivotButton="0" quotePrefix="0" xfId="0"/>
    <xf numFmtId="165" fontId="8" fillId="0" borderId="0" pivotButton="0" quotePrefix="0" xfId="0"/>
    <xf numFmtId="164" fontId="11" fillId="0" borderId="0" pivotButton="0" quotePrefix="0" xfId="0"/>
    <xf numFmtId="4" fontId="5" fillId="0" borderId="0" pivotButton="0" quotePrefix="0" xfId="0"/>
    <xf numFmtId="0" fontId="7" fillId="4" borderId="0" pivotButton="0" quotePrefix="0" xfId="0"/>
    <xf numFmtId="0" fontId="5" fillId="4" borderId="0" pivotButton="0" quotePrefix="0" xfId="0"/>
    <xf numFmtId="166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0" fillId="0" borderId="0" pivotButton="0" quotePrefix="0" xfId="0"/>
    <xf numFmtId="164" fontId="5" fillId="0" borderId="0" pivotButton="0" quotePrefix="0" xfId="0"/>
    <xf numFmtId="166" fontId="5" fillId="0" borderId="0" pivotButton="0" quotePrefix="0" xfId="0"/>
    <xf numFmtId="164" fontId="8" fillId="0" borderId="0" pivotButton="0" quotePrefix="0" xfId="0"/>
    <xf numFmtId="164" fontId="10" fillId="0" borderId="0" pivotButton="0" quotePrefix="0" xfId="0"/>
    <xf numFmtId="164" fontId="11" fillId="0" borderId="0" pivotButton="0" quotePrefix="0" xfId="0"/>
    <xf numFmtId="165" fontId="5" fillId="0" borderId="0" pivotButton="0" quotePrefix="0" xfId="0"/>
    <xf numFmtId="165" fontId="8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Research audit</author>
  </authors>
  <commentList>
    <comment ref="B4" authorId="0" shapeId="0">
      <text>
        <t>按20200421.pdf PDF第106页更正。原值=398548020.79。收到的税费返还 57,707,810.89 46,944,662.74</t>
      </text>
    </comment>
    <comment ref="C4" authorId="0" shapeId="0">
      <text>
        <t>按20210416.pdf PDF第118页更正。原值=704441928.53。收到的税费返还 43,569,922.89 57,707,810.89</t>
      </text>
    </comment>
    <comment ref="D4" authorId="0" shapeId="0">
      <text>
        <t>按20220414.pdf PDF第113页更正。原值=1317076419.24。收到的税费返还 300,386,892.66 43,569,922.89</t>
      </text>
    </comment>
    <comment ref="E4" authorId="0" shapeId="0">
      <text>
        <t>按20230428.pdf PDF第102页更正。原值=1712718384.23。收到的税费返还 499,775,250.65 300,386,892.66</t>
      </text>
    </comment>
    <comment ref="F4" authorId="0" shapeId="0">
      <text>
        <t>按20240428.pdf PDF第97页更正。原值=1017897736.4。收到的税费返还 272,171,263.91 499,775,250.65</t>
      </text>
    </comment>
    <comment ref="G4" authorId="0" shapeId="0">
      <text>
        <t>按20250425.pdf PDF第101页更正。原值=1248073622.03。收到的税费返还 228,726,425.99 272,358,394.06</t>
      </text>
    </comment>
    <comment ref="H4" authorId="0" shapeId="0">
      <text>
        <t>按20260428.pdf PDF第104页更正。原值=1242340573.01。收到的税费返还 132,639,968.45 228,726,425.99</t>
      </text>
    </comment>
    <comment ref="B8" authorId="0" shapeId="0">
      <text>
        <t>按20200421.pdf PDF第106页更正。原值=None。支付的各项税费 398,548,020.79 383,731,488.35</t>
      </text>
    </comment>
    <comment ref="C8" authorId="0" shapeId="0">
      <text>
        <t>按20210416.pdf PDF第118页更正。原值=None。支付的各项税费 704,441,928.53 398,548,020.79</t>
      </text>
    </comment>
    <comment ref="D8" authorId="0" shapeId="0">
      <text>
        <t>按20220414.pdf PDF第113页更正。原值=None。支付的各项税费 1,317,076,419.24 704,441,928.53</t>
      </text>
    </comment>
    <comment ref="E8" authorId="0" shapeId="0">
      <text>
        <t>按20230428.pdf PDF第102页更正。原值=None。支付的各项税费 1,712,718,384.23 1,317,076,419.24</t>
      </text>
    </comment>
    <comment ref="F8" authorId="0" shapeId="0">
      <text>
        <t>按20240428.pdf PDF第97页更正。原值=None。支付的各项税费 1,017,897,736.40 1,712,718,384.23</t>
      </text>
    </comment>
    <comment ref="G8" authorId="0" shapeId="0">
      <text>
        <t>按20250425.pdf PDF第102页更正。原值=None。支付的各项税费 1,248,073,622.03 1,032,823,939.80</t>
      </text>
    </comment>
    <comment ref="H8" authorId="0" shapeId="0">
      <text>
        <t>按20260428.pdf PDF第105页更正。原值=None。支付的各项税费 1,242,340,573.01 1,248,073,622.03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21"/>
  <sheetViews>
    <sheetView showGridLines="0" topLeftCell="A2" workbookViewId="0">
      <selection activeCell="A1" sqref="A1:D1"/>
    </sheetView>
  </sheetViews>
  <sheetFormatPr baseColWidth="8" defaultColWidth="8" defaultRowHeight="16.8"/>
  <cols>
    <col width="36" customWidth="1" style="28" min="1" max="1"/>
    <col width="60" customWidth="1" style="28" min="2" max="2"/>
    <col width="12" customWidth="1" style="28" min="3" max="4"/>
  </cols>
  <sheetData>
    <row r="1" ht="15" customHeight="1" s="28">
      <c r="A1" s="1" t="inlineStr">
        <is>
          <t>明阳智能（601615）2019—2025年度财务证据台账</t>
        </is>
      </c>
    </row>
    <row r="2" ht="15" customHeight="1" s="28">
      <c r="A2" s="22" t="inlineStr">
        <is>
          <t>编制用途：MPAcc论文《盈利形成与现金回收时差》证据底稿。所有数据均来自公司经审计年度报告，未做任何推算替代。</t>
        </is>
      </c>
    </row>
    <row r="3"/>
    <row r="4" ht="15" customHeight="1" s="28">
      <c r="A4" s="23" t="inlineStr">
        <is>
          <t>数据口径</t>
        </is>
      </c>
      <c r="B4" s="24" t="n"/>
    </row>
    <row r="5" ht="15" customHeight="1" s="28">
      <c r="A5" s="25" t="inlineStr">
        <is>
          <t>1. 主序列口径</t>
        </is>
      </c>
      <c r="B5" s="26" t="inlineStr">
        <is>
          <t>主序列采用各年度报告“主要会计数据”表当年披露口径（即该年披露时的原始数值）。2021—2023年后续年报对比较数进行重述，重述后（调整后）值在“01_盈利-现金核心序列”表底部“重述口径对照”中另列，两套口径并存、均留痕，便于论文按需选用。</t>
        </is>
      </c>
    </row>
    <row r="6" ht="15" customHeight="1" s="28">
      <c r="A6" s="25" t="inlineStr">
        <is>
          <t>2. 报表范围</t>
        </is>
      </c>
      <c r="B6" s="26" t="inlineStr">
        <is>
          <t>全部为合并报表数据。营业收入/利润/现金流来自合并利润表、合并现金流量表；资产负债表科目为合并资产负债表期末值。</t>
        </is>
      </c>
    </row>
    <row r="7" ht="15" customHeight="1" s="28">
      <c r="A7" s="25" t="inlineStr">
        <is>
          <t>3. 单位</t>
        </is>
      </c>
      <c r="B7" s="26" t="inlineStr">
        <is>
          <t>除特别标注外均为人民币元。亿元换算见各表“备注/换算”行。</t>
        </is>
      </c>
    </row>
    <row r="8" ht="15" customHeight="1" s="28">
      <c r="A8" s="25" t="inlineStr">
        <is>
          <t>4. 应收账款</t>
        </is>
      </c>
      <c r="B8" s="26" t="inlineStr">
        <is>
          <t>资产负债表列示为账面价值（已扣坏账）；账龄附注的“合计”在2021—2025年为账面余额、2019—2020年为账面价值，已分别处理。</t>
        </is>
      </c>
    </row>
    <row r="9" ht="15" customHeight="1" s="28">
      <c r="A9" s="25" t="inlineStr">
        <is>
          <t>5. 2023年重述</t>
        </is>
      </c>
      <c r="B9" s="27" t="inlineStr">
        <is>
          <t>2023年报披露后，后续年报对2023年及更早年度比较数进行重述（会计政策变更/差错更正）。台账主序列采用最新口径（2025年报/2024年报调整后值）。</t>
        </is>
      </c>
    </row>
    <row r="10" ht="15" customHeight="1" s="28">
      <c r="A10" s="25" t="inlineStr">
        <is>
          <t>6. 审计意见</t>
        </is>
      </c>
      <c r="B10" s="27" t="inlineStr">
        <is>
          <t>2019—2024年度为标准无保留意见（致同会计师事务所）；2025年度为标准无保留意见（安永华明会计师事务所）。</t>
        </is>
      </c>
    </row>
    <row r="11"/>
    <row r="12"/>
    <row r="13" ht="15" customHeight="1" s="28">
      <c r="A13" s="25" t="inlineStr">
        <is>
          <t>2019年报</t>
        </is>
      </c>
      <c r="B13" s="26" t="inlineStr">
        <is>
          <t>明阳智慧能源集团股份公司2019年年度报告，2020-04-22披露，325页</t>
        </is>
      </c>
    </row>
    <row r="14" ht="15" customHeight="1" s="28">
      <c r="A14" s="25" t="inlineStr">
        <is>
          <t>2020年报</t>
        </is>
      </c>
      <c r="B14" s="27" t="inlineStr">
        <is>
          <t>2020年年度报告，2021-04-08披露，338页</t>
        </is>
      </c>
    </row>
    <row r="15" ht="15" customHeight="1" s="28">
      <c r="A15" s="25" t="inlineStr">
        <is>
          <t>2021年报</t>
        </is>
      </c>
      <c r="B15" s="27" t="inlineStr">
        <is>
          <t>2021年年度报告，2022-04-14披露，333页</t>
        </is>
      </c>
    </row>
    <row r="16" ht="15" customHeight="1" s="28">
      <c r="A16" s="25" t="inlineStr">
        <is>
          <t>2022年报</t>
        </is>
      </c>
      <c r="B16" s="27" t="inlineStr">
        <is>
          <t>2022年年度报告，2023-04-29披露，267页</t>
        </is>
      </c>
    </row>
    <row r="17" ht="15" customHeight="1" s="28">
      <c r="A17" s="25" t="inlineStr">
        <is>
          <t>2023年报</t>
        </is>
      </c>
      <c r="B17" s="27" t="inlineStr">
        <is>
          <t>2023年年度报告（修订版），2024-05-23披露，272页</t>
        </is>
      </c>
    </row>
    <row r="18" ht="15" customHeight="1" s="28">
      <c r="A18" s="25" t="inlineStr">
        <is>
          <t>2024年报</t>
        </is>
      </c>
      <c r="B18" s="27" t="inlineStr">
        <is>
          <t>2024年年度报告，2025-04-26披露，275页</t>
        </is>
      </c>
    </row>
    <row r="19" ht="15" customHeight="1" s="28">
      <c r="A19" s="25" t="inlineStr">
        <is>
          <t>2025年报</t>
        </is>
      </c>
      <c r="B19" s="27" t="inlineStr">
        <is>
          <t>2025年年度报告，2026-04-29披露，278页</t>
        </is>
      </c>
    </row>
    <row r="20"/>
    <row r="21">
      <c r="A21" t="inlineStr">
        <is>
          <t>本轮副本说明</t>
        </is>
      </c>
      <c r="B21" t="inlineStr">
        <is>
          <t>仅按原年报当年列修正税费返还和支付税费共14个单元格；空白数值争议、重述口径及其他指标仍待核对。本副本不是最终评价数据。</t>
        </is>
      </c>
    </row>
  </sheetData>
  <mergeCells count="16">
    <mergeCell ref="B10:D10"/>
    <mergeCell ref="A1:D1"/>
    <mergeCell ref="B19:D19"/>
    <mergeCell ref="B5:D5"/>
    <mergeCell ref="B14:D14"/>
    <mergeCell ref="B8:D8"/>
    <mergeCell ref="B4:D4"/>
    <mergeCell ref="B17:D17"/>
    <mergeCell ref="B9:D9"/>
    <mergeCell ref="B13:D13"/>
    <mergeCell ref="B18:D18"/>
    <mergeCell ref="A2:D2"/>
    <mergeCell ref="B15:D15"/>
    <mergeCell ref="B7:D7"/>
    <mergeCell ref="B6:D6"/>
    <mergeCell ref="B16:D16"/>
  </mergeCells>
  <pageMargins left="0.75" right="0.75" top="1" bottom="1" header="0.511811023622047" footer="0.511811023622047"/>
  <pageSetup orientation="portrait" paperSize="1" horizontalDpi="300" verticalDpi="30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31"/>
  <sheetViews>
    <sheetView showGridLines="0" workbookViewId="0">
      <selection activeCell="B5" sqref="B5"/>
    </sheetView>
  </sheetViews>
  <sheetFormatPr baseColWidth="8" defaultColWidth="8" defaultRowHeight="16.8"/>
  <cols>
    <col width="42.1160714285714" customWidth="1" style="28" min="1" max="1"/>
    <col width="23.5089285714286" customWidth="1" style="28" min="2" max="2"/>
    <col width="24.0982142857143" customWidth="1" style="28" min="3" max="3"/>
    <col width="27.2232142857143" customWidth="1" style="28" min="4" max="4"/>
    <col width="25.8928571428571" customWidth="1" style="28" min="5" max="5"/>
    <col width="26.0357142857143" customWidth="1" style="28" min="6" max="6"/>
    <col width="20.0803571428571" customWidth="1" style="28" min="7" max="7"/>
    <col width="22.9107142857143" customWidth="1" style="28" min="8" max="8"/>
  </cols>
  <sheetData>
    <row r="1" ht="15" customHeight="1" s="28">
      <c r="A1" s="1" t="inlineStr">
        <is>
          <t>一、盈利-现金核心序列（2019—2025年度，单位：元）</t>
        </is>
      </c>
    </row>
    <row r="2" ht="15" customHeight="1" s="28">
      <c r="A2" s="2" t="inlineStr">
        <is>
          <t>项目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  <c r="G2" s="3" t="inlineStr">
        <is>
          <t>2024</t>
        </is>
      </c>
      <c r="H2" s="3" t="inlineStr">
        <is>
          <t>2025</t>
        </is>
      </c>
    </row>
    <row r="3" ht="15" customHeight="1" s="28">
      <c r="A3" s="7" t="inlineStr">
        <is>
          <t>营业收入（营收）</t>
        </is>
      </c>
      <c r="B3" s="29" t="n">
        <v>10493157033.56</v>
      </c>
      <c r="C3" s="29" t="n">
        <v>22456987361.3</v>
      </c>
      <c r="D3" s="29" t="n">
        <v>27158048361.4</v>
      </c>
      <c r="E3" s="29" t="n">
        <v>30747775048.56</v>
      </c>
      <c r="F3" s="29" t="n">
        <v>27859076459.8</v>
      </c>
      <c r="G3" s="29" t="n">
        <v>27158316717.94</v>
      </c>
      <c r="H3" s="29" t="n">
        <v>38094969264.43</v>
      </c>
    </row>
    <row r="4" ht="15" customHeight="1" s="28">
      <c r="A4" s="9" t="inlineStr">
        <is>
          <t xml:space="preserve">  其中：营业成本（利润表）</t>
        </is>
      </c>
      <c r="B4" s="29" t="n">
        <v>8115571674.75</v>
      </c>
      <c r="C4" s="29" t="n">
        <v>18287125421.79</v>
      </c>
      <c r="D4" s="29" t="n">
        <v>21337654548.94</v>
      </c>
      <c r="E4" s="29" t="n">
        <v>24602019557.51</v>
      </c>
      <c r="F4" s="29" t="n">
        <v>24739445812.85</v>
      </c>
      <c r="G4" s="29" t="n">
        <v>24959005553.54</v>
      </c>
      <c r="H4" s="29" t="n">
        <v>34162679962.26</v>
      </c>
    </row>
    <row r="5" ht="15" customHeight="1" s="28">
      <c r="A5" s="9" t="inlineStr">
        <is>
          <t>营业利润（利润表）</t>
        </is>
      </c>
      <c r="B5" s="29" t="n">
        <v>738823540</v>
      </c>
      <c r="C5" s="29" t="n">
        <v>1578978509.33</v>
      </c>
      <c r="D5" s="29" t="n">
        <v>3623093174.97</v>
      </c>
      <c r="E5" s="29" t="n">
        <v>3864929429.56</v>
      </c>
      <c r="F5" s="29" t="n">
        <v>375914790.22</v>
      </c>
      <c r="G5" s="29" t="n">
        <v>451930951.76</v>
      </c>
      <c r="H5" s="29" t="n">
        <v>716816073.1</v>
      </c>
    </row>
    <row r="6" ht="15" customHeight="1" s="28">
      <c r="A6" s="9" t="inlineStr">
        <is>
          <t>利润总额</t>
        </is>
      </c>
      <c r="B6" s="29" t="n">
        <v>747510373.5700001</v>
      </c>
      <c r="C6" s="29" t="n">
        <v>1477099558.59</v>
      </c>
      <c r="D6" s="29" t="n">
        <v>3589393792.94</v>
      </c>
      <c r="E6" s="29" t="n">
        <v>3857966700.07</v>
      </c>
      <c r="F6" s="29" t="n">
        <v>354653481.2</v>
      </c>
      <c r="G6" s="29" t="n">
        <v>414831599.8</v>
      </c>
      <c r="H6" s="29" t="n">
        <v>636368238.53</v>
      </c>
    </row>
    <row r="7" ht="15" customHeight="1" s="28">
      <c r="A7" s="7" t="inlineStr">
        <is>
          <t>归属于母公司股东的净利润</t>
        </is>
      </c>
      <c r="B7" s="29" t="n">
        <v>712563192.87</v>
      </c>
      <c r="C7" s="29" t="n">
        <v>1374071306.07</v>
      </c>
      <c r="D7" s="29" t="n">
        <v>3101123791.52</v>
      </c>
      <c r="E7" s="29" t="n">
        <v>3454607512.89</v>
      </c>
      <c r="F7" s="29" t="n">
        <v>372451216.45</v>
      </c>
      <c r="G7" s="29" t="n">
        <v>346114493.48</v>
      </c>
      <c r="H7" s="29" t="n">
        <v>659873732.73</v>
      </c>
    </row>
    <row r="8" ht="15" customHeight="1" s="28">
      <c r="A8" s="9" t="inlineStr">
        <is>
          <t>归属于上市公司股东的扣除非经常性损益的净利润</t>
        </is>
      </c>
      <c r="B8" s="29" t="n">
        <v>633980639.52</v>
      </c>
      <c r="C8" s="29" t="n">
        <v>1399984189.82</v>
      </c>
      <c r="D8" s="29" t="n">
        <v>2933643438.18</v>
      </c>
      <c r="E8" s="29" t="n">
        <v>3110356740.51</v>
      </c>
      <c r="F8" s="29" t="n">
        <v>205768750.28</v>
      </c>
      <c r="G8" s="29" t="n">
        <v>175406114.24</v>
      </c>
      <c r="H8" s="29" t="n">
        <v>487946939.49</v>
      </c>
    </row>
    <row r="9" ht="15" customHeight="1" s="28">
      <c r="A9" s="7" t="inlineStr">
        <is>
          <t>经营活动产生的现金流量净额（CFO）</t>
        </is>
      </c>
      <c r="B9" s="29" t="n">
        <v>5755264200.02</v>
      </c>
      <c r="C9" s="29" t="n">
        <v>3630754067.75</v>
      </c>
      <c r="D9" s="29" t="n">
        <v>5397539407.22</v>
      </c>
      <c r="E9" s="29" t="n">
        <v>-795897943.83</v>
      </c>
      <c r="F9" s="29" t="n">
        <v>-2591549270.7</v>
      </c>
      <c r="G9" s="29" t="n">
        <v>-2403166821.84</v>
      </c>
      <c r="H9" s="29" t="n">
        <v>-5538072069.59</v>
      </c>
    </row>
    <row r="10" ht="15" customHeight="1" s="28">
      <c r="A10" s="11" t="inlineStr">
        <is>
          <t>CFO / 归母净利润（倍）</t>
        </is>
      </c>
      <c r="B10" s="12">
        <f>B9/B7</f>
        <v/>
      </c>
      <c r="C10" s="12">
        <f>C9/C7</f>
        <v/>
      </c>
      <c r="D10" s="12">
        <f>D9/D7</f>
        <v/>
      </c>
      <c r="E10" s="12">
        <f>E9/E7</f>
        <v/>
      </c>
      <c r="F10" s="12">
        <f>F9/F7</f>
        <v/>
      </c>
      <c r="G10" s="12">
        <f>G9/G7</f>
        <v/>
      </c>
      <c r="H10" s="12">
        <f>H9/H7</f>
        <v/>
      </c>
    </row>
    <row r="11"/>
    <row r="12" ht="15" customHeight="1" s="28">
      <c r="A12" s="9" t="inlineStr">
        <is>
          <t>营业收入（亿元，换算）</t>
        </is>
      </c>
      <c r="B12" s="18">
        <f>B3/100000000</f>
        <v/>
      </c>
      <c r="C12" s="18">
        <f>C3/100000000</f>
        <v/>
      </c>
      <c r="D12" s="18">
        <f>D3/100000000</f>
        <v/>
      </c>
      <c r="E12" s="18">
        <f>E3/100000000</f>
        <v/>
      </c>
      <c r="F12" s="18">
        <f>F3/100000000</f>
        <v/>
      </c>
      <c r="G12" s="18">
        <f>G3/100000000</f>
        <v/>
      </c>
      <c r="H12" s="18">
        <f>H3/100000000</f>
        <v/>
      </c>
    </row>
    <row r="13" ht="15" customHeight="1" s="28">
      <c r="A13" s="9" t="inlineStr">
        <is>
          <t>归母净利润（亿元，换算）</t>
        </is>
      </c>
      <c r="B13" s="18">
        <f>B7/100000000</f>
        <v/>
      </c>
      <c r="C13" s="18">
        <f>C7/100000000</f>
        <v/>
      </c>
      <c r="D13" s="18">
        <f>D7/100000000</f>
        <v/>
      </c>
      <c r="E13" s="18">
        <f>E7/100000000</f>
        <v/>
      </c>
      <c r="F13" s="18">
        <f>F7/100000000</f>
        <v/>
      </c>
      <c r="G13" s="18">
        <f>G7/100000000</f>
        <v/>
      </c>
      <c r="H13" s="18">
        <f>H7/100000000</f>
        <v/>
      </c>
    </row>
    <row r="14" ht="15" customHeight="1" s="28">
      <c r="A14" s="9" t="inlineStr">
        <is>
          <t>经营活动现金流量净额（亿元，换算）</t>
        </is>
      </c>
      <c r="B14" s="18">
        <f>B9/100000000</f>
        <v/>
      </c>
      <c r="C14" s="18">
        <f>C9/100000000</f>
        <v/>
      </c>
      <c r="D14" s="18">
        <f>D9/100000000</f>
        <v/>
      </c>
      <c r="E14" s="18">
        <f>E9/100000000</f>
        <v/>
      </c>
      <c r="F14" s="18">
        <f>F9/100000000</f>
        <v/>
      </c>
      <c r="G14" s="18">
        <f>G9/100000000</f>
        <v/>
      </c>
      <c r="H14" s="18">
        <f>H9/100000000</f>
        <v/>
      </c>
    </row>
    <row r="15"/>
    <row r="16" ht="15" customHeight="1" s="28">
      <c r="A16" s="13" t="inlineStr">
        <is>
          <t>数据来源：各年度报告“第二节 主要会计数据”（营业收入/归母净利/扣非/CFO）及“合并利润表/合并现金流量表”（营业利润/利润总额/营业成本）。页码详见 07_页码索引。</t>
        </is>
      </c>
    </row>
    <row r="17"/>
    <row r="18" ht="15" customHeight="1" s="28">
      <c r="A18" s="19" t="inlineStr">
        <is>
          <t>重述口径对照（主序列为当年披露口径；下表列示后续年报重述后的调整后值）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 ht="15" customHeight="1" s="28">
      <c r="A19" s="9" t="inlineStr">
        <is>
          <t>项目 / 年度</t>
        </is>
      </c>
    </row>
    <row r="20" ht="15" customHeight="1" s="28">
      <c r="A20" s="11" t="inlineStr">
        <is>
          <t>2021营收(调整后)</t>
        </is>
      </c>
      <c r="B20" s="30" t="n">
        <v>27216249113.68</v>
      </c>
    </row>
    <row r="21" ht="15" customHeight="1" s="28">
      <c r="A21" s="11" t="inlineStr">
        <is>
          <t>2021归母净利(调整后)</t>
        </is>
      </c>
      <c r="B21" s="30" t="n">
        <v>3157783753.61</v>
      </c>
    </row>
    <row r="22" ht="15" customHeight="1" s="28">
      <c r="A22" s="11" t="inlineStr">
        <is>
          <t>2021扣非(调整后)</t>
        </is>
      </c>
      <c r="B22" s="30" t="n">
        <v>2990303400.27</v>
      </c>
    </row>
    <row r="23" ht="15" customHeight="1" s="28">
      <c r="A23" s="11" t="inlineStr">
        <is>
          <t>2022营收(调整后)</t>
        </is>
      </c>
      <c r="B23" s="30" t="n">
        <v>30747775048.56</v>
      </c>
    </row>
    <row r="24" ht="15" customHeight="1" s="28">
      <c r="A24" s="11" t="inlineStr">
        <is>
          <t>2022归母净利(调整后)</t>
        </is>
      </c>
      <c r="B24" s="30" t="n">
        <v>3444710792.65</v>
      </c>
    </row>
    <row r="25" ht="15" customHeight="1" s="28">
      <c r="A25" s="11" t="inlineStr">
        <is>
          <t>2022扣非(调整后)</t>
        </is>
      </c>
      <c r="B25" s="30" t="n">
        <v>3100460020.27</v>
      </c>
    </row>
    <row r="26" ht="15" customHeight="1" s="28">
      <c r="A26" s="11" t="inlineStr">
        <is>
          <t>2023营收(调整后)</t>
        </is>
      </c>
      <c r="B26" s="30" t="n">
        <v>28123843438.14</v>
      </c>
    </row>
    <row r="27" ht="15" customHeight="1" s="28">
      <c r="A27" s="11" t="inlineStr">
        <is>
          <t>2023归母净利(调整后)</t>
        </is>
      </c>
      <c r="B27" s="30" t="n">
        <v>376722128.3</v>
      </c>
    </row>
    <row r="28" ht="15" customHeight="1" s="28">
      <c r="A28" s="11" t="inlineStr">
        <is>
          <t>2023扣非(调整后)</t>
        </is>
      </c>
      <c r="B28" s="30" t="n">
        <v>204546989.7</v>
      </c>
    </row>
    <row r="29" ht="15" customHeight="1" s="28">
      <c r="A29" s="11" t="inlineStr">
        <is>
          <t>2023CFO(调整后)</t>
        </is>
      </c>
      <c r="B29" s="30" t="n">
        <v>-2590267971.93</v>
      </c>
    </row>
    <row r="30"/>
    <row r="31" ht="15" customHeight="1" s="28">
      <c r="A31" s="6" t="inlineStr">
        <is>
          <t>调整后（最新口径）口径说明：2021年调整后值为2022年报重述披露；2022年调整后值为2023年报重述披露；2023年调整后值为2024年报重述披露。CFO仅2023年发生重述，2021/2022年CFO两口径一致。</t>
        </is>
      </c>
      <c r="B31" s="6" t="n"/>
      <c r="C31" s="6" t="n"/>
      <c r="D31" s="6" t="n"/>
      <c r="E31" s="6" t="n"/>
      <c r="F31" s="6" t="n"/>
      <c r="G31" s="6" t="n"/>
      <c r="H31" s="6" t="n"/>
    </row>
  </sheetData>
  <mergeCells count="2">
    <mergeCell ref="A16:H16"/>
    <mergeCell ref="A1:H1"/>
  </mergeCells>
  <pageMargins left="0.75" right="0.75" top="1" bottom="1" header="0.511811023622047" footer="0.511811023622047"/>
  <pageSetup orientation="portrait" paperSize="1" horizontalDpi="300" verticalDpi="30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14"/>
  <sheetViews>
    <sheetView showGridLines="0" workbookViewId="0">
      <selection activeCell="G2" sqref="G$1:G$1048576"/>
    </sheetView>
  </sheetViews>
  <sheetFormatPr baseColWidth="8" defaultColWidth="8" defaultRowHeight="16.8"/>
  <cols>
    <col width="42.2589285714286" customWidth="1" style="28" min="1" max="1"/>
    <col width="26.9285714285714" customWidth="1" style="28" min="2" max="2"/>
    <col width="24.25" customWidth="1" style="28" min="3" max="3"/>
    <col width="34.0714285714286" customWidth="1" style="28" min="4" max="5"/>
    <col width="26.0357142857143" customWidth="1" style="28" min="6" max="6"/>
    <col width="29.0178571428571" customWidth="1" style="28" min="7" max="7"/>
    <col width="26.3392857142857" customWidth="1" style="28" min="8" max="8"/>
  </cols>
  <sheetData>
    <row r="1" ht="15" customHeight="1" s="28">
      <c r="A1" s="1" t="inlineStr">
        <is>
          <t>二、经营活动现金收付结构（2019—2025年度，单位：元）</t>
        </is>
      </c>
    </row>
    <row r="2" ht="15" customHeight="1" s="28">
      <c r="A2" s="2" t="inlineStr">
        <is>
          <t>项目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  <c r="G2" s="3" t="inlineStr">
        <is>
          <t>2024</t>
        </is>
      </c>
      <c r="H2" s="3" t="inlineStr">
        <is>
          <t>2025</t>
        </is>
      </c>
    </row>
    <row r="3" ht="15" customHeight="1" s="28">
      <c r="A3" s="7" t="inlineStr">
        <is>
          <t>销售商品、提供劳务收到的现金</t>
        </is>
      </c>
      <c r="B3" s="31" t="n">
        <v>16259006401.42</v>
      </c>
      <c r="C3" s="31" t="n">
        <v>36872005875.63</v>
      </c>
      <c r="D3" s="31" t="n">
        <v>24572817510.97</v>
      </c>
      <c r="E3" s="31" t="n">
        <v>23447945107.13</v>
      </c>
      <c r="F3" s="31" t="n">
        <v>24633731206.24</v>
      </c>
      <c r="G3" s="31" t="n">
        <v>28499452171.18</v>
      </c>
      <c r="H3" s="31" t="n">
        <v>32297662094.25</v>
      </c>
    </row>
    <row r="4" ht="15" customHeight="1" s="28">
      <c r="A4" s="4" t="inlineStr">
        <is>
          <t xml:space="preserve">  收到的税费返还</t>
        </is>
      </c>
      <c r="B4" s="32" t="n">
        <v>57707810.89</v>
      </c>
      <c r="C4" s="32" t="n">
        <v>43569922.89</v>
      </c>
      <c r="D4" s="32" t="n">
        <v>300386892.66</v>
      </c>
      <c r="E4" s="32" t="n">
        <v>499775250.65</v>
      </c>
      <c r="F4" s="32" t="n">
        <v>272171263.91</v>
      </c>
      <c r="G4" s="32" t="n">
        <v>228726425.99</v>
      </c>
      <c r="H4" s="32" t="n">
        <v>132639968.45</v>
      </c>
    </row>
    <row r="5" ht="15" customHeight="1" s="28">
      <c r="A5" s="7" t="inlineStr">
        <is>
          <t>经营活动现金流入小计</t>
        </is>
      </c>
      <c r="B5" s="31" t="n">
        <v>16636398165.44</v>
      </c>
      <c r="C5" s="31" t="n">
        <v>37616028701.73</v>
      </c>
      <c r="D5" s="31" t="n">
        <v>25491362306.58</v>
      </c>
      <c r="E5" s="31" t="n">
        <v>24846691364.72</v>
      </c>
      <c r="F5" s="31" t="n">
        <v>26385039471.22</v>
      </c>
      <c r="G5" s="31" t="n">
        <v>29562428585.94</v>
      </c>
      <c r="H5" s="31" t="n">
        <v>33100630167.6</v>
      </c>
    </row>
    <row r="6" ht="15" customHeight="1" s="28">
      <c r="A6" s="7" t="inlineStr">
        <is>
          <t>购买商品、接受劳务支付的现金</t>
        </is>
      </c>
      <c r="B6" s="31" t="n">
        <v>8339979845.45</v>
      </c>
      <c r="C6" s="31" t="n">
        <v>30732453551.48</v>
      </c>
      <c r="D6" s="31" t="n">
        <v>15895042038.51</v>
      </c>
      <c r="E6" s="31" t="n">
        <v>20425556780.51</v>
      </c>
      <c r="F6" s="31" t="n">
        <v>24087034495.88</v>
      </c>
      <c r="G6" s="31" t="n">
        <v>26385745177.63</v>
      </c>
      <c r="H6" s="31" t="n">
        <v>31852510959.71</v>
      </c>
    </row>
    <row r="7" ht="15" customHeight="1" s="28">
      <c r="A7" s="4" t="inlineStr">
        <is>
          <t xml:space="preserve">  支付给职工以及为职工支付的现金</t>
        </is>
      </c>
      <c r="B7" s="32" t="n">
        <v>821091652.41</v>
      </c>
      <c r="C7" s="32" t="n">
        <v>1230844976.6</v>
      </c>
      <c r="D7" s="32" t="n">
        <v>1465770206.77</v>
      </c>
      <c r="E7" s="32" t="n">
        <v>1709155124.98</v>
      </c>
      <c r="F7" s="32" t="n">
        <v>2026092765.23</v>
      </c>
      <c r="G7" s="32" t="n">
        <v>2430469935.11</v>
      </c>
      <c r="H7" s="32" t="n">
        <v>3053215492.81</v>
      </c>
    </row>
    <row r="8" ht="15" customHeight="1" s="28">
      <c r="A8" s="4" t="inlineStr">
        <is>
          <t xml:space="preserve">  支付的各项税费</t>
        </is>
      </c>
      <c r="B8" s="4" t="n">
        <v>398548020.79</v>
      </c>
      <c r="C8" s="4" t="n">
        <v>704441928.53</v>
      </c>
      <c r="D8" s="4" t="n">
        <v>1317076419.24</v>
      </c>
      <c r="E8" s="4" t="n">
        <v>1712718384.23</v>
      </c>
      <c r="F8" s="4" t="n">
        <v>1017897736.4</v>
      </c>
      <c r="G8" s="4" t="n">
        <v>1248073622.03</v>
      </c>
      <c r="H8" s="4" t="n">
        <v>1242340573.01</v>
      </c>
    </row>
    <row r="9" ht="15" customHeight="1" s="28">
      <c r="A9" s="7" t="inlineStr">
        <is>
          <t>经营活动现金流出小计</t>
        </is>
      </c>
      <c r="B9" s="31" t="n">
        <v>10881133965.42</v>
      </c>
      <c r="C9" s="31" t="n">
        <v>33985274633.98</v>
      </c>
      <c r="D9" s="31" t="n">
        <v>20093822899.36</v>
      </c>
      <c r="E9" s="31" t="n">
        <v>25642589308.55</v>
      </c>
      <c r="F9" s="31" t="n">
        <v>28976588741.92</v>
      </c>
      <c r="G9" s="31" t="n">
        <v>31965595407.78</v>
      </c>
      <c r="H9" s="31" t="n">
        <v>38638702237.19</v>
      </c>
    </row>
    <row r="10" ht="15" customHeight="1" s="28">
      <c r="A10" s="7" t="inlineStr">
        <is>
          <t>经营活动产生的现金流量净额</t>
        </is>
      </c>
      <c r="B10" s="31" t="n">
        <v>5755264200.02</v>
      </c>
      <c r="C10" s="31" t="n">
        <v>3630754067.75</v>
      </c>
      <c r="D10" s="31" t="n">
        <v>5397539407.22</v>
      </c>
      <c r="E10" s="31" t="n">
        <v>-795897943.83</v>
      </c>
      <c r="F10" s="31" t="n">
        <v>-2591549270.7</v>
      </c>
      <c r="G10" s="31" t="n">
        <v>-2403166821.84</v>
      </c>
      <c r="H10" s="31" t="n">
        <v>-5538072069.59</v>
      </c>
    </row>
    <row r="11"/>
    <row r="12" ht="15" customHeight="1" s="28">
      <c r="A12" s="6" t="inlineStr">
        <is>
          <t>校验：流入小计 - 流出小计</t>
        </is>
      </c>
      <c r="B12" s="33">
        <f>B5-B9</f>
        <v/>
      </c>
      <c r="C12" s="33">
        <f>C5-C9</f>
        <v/>
      </c>
      <c r="D12" s="33">
        <f>D5-D9</f>
        <v/>
      </c>
      <c r="E12" s="33">
        <f>E5-E9</f>
        <v/>
      </c>
      <c r="F12" s="33">
        <f>F5-F9</f>
        <v/>
      </c>
      <c r="G12" s="33">
        <f>G5-G9</f>
        <v/>
      </c>
      <c r="H12" s="33">
        <f>H5-H9</f>
        <v/>
      </c>
    </row>
    <row r="13"/>
    <row r="14" ht="15" customHeight="1" s="28">
      <c r="A14" s="13" t="inlineStr">
        <is>
          <t>数据来源：各年度报告“合并现金流量表”（经营部分）。2019—2020年个别标签在PDF中被截断，数值已按行坐标精确还原（见07_页码索引）。“支付的各项税费”未逐项提取，本表留空，可按需从年报补充。</t>
        </is>
      </c>
    </row>
  </sheetData>
  <mergeCells count="2">
    <mergeCell ref="A14:H14"/>
    <mergeCell ref="A1:H1"/>
  </mergeCells>
  <pageMargins left="0.75" right="0.75" top="1" bottom="1" header="0.511811023622047" footer="0.511811023622047"/>
  <pageSetup orientation="portrait" paperSize="1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17"/>
  <sheetViews>
    <sheetView showGridLines="0" tabSelected="1" workbookViewId="0">
      <selection activeCell="B10" sqref="B10"/>
    </sheetView>
  </sheetViews>
  <sheetFormatPr baseColWidth="8" defaultColWidth="8" defaultRowHeight="16.8"/>
  <cols>
    <col width="34" customWidth="1" style="28" min="1" max="1"/>
    <col width="30.7946428571429" customWidth="1" style="28" min="2" max="2"/>
    <col width="32.2857142857143" customWidth="1" style="28" min="3" max="3"/>
    <col width="25.8928571428571" customWidth="1" style="28" min="4" max="4"/>
    <col width="22.7589285714286" customWidth="1" style="28" min="5" max="5"/>
    <col width="26.625" customWidth="1" style="28" min="6" max="6"/>
    <col width="24.0982142857143" customWidth="1" style="28" min="7" max="7"/>
    <col width="23.9553571428571" customWidth="1" style="28" min="8" max="8"/>
  </cols>
  <sheetData>
    <row r="1" ht="15" customHeight="1" s="28">
      <c r="A1" s="1" t="inlineStr">
        <is>
          <t>三、经营性资产负债占用（期末余额，单位：元）</t>
        </is>
      </c>
    </row>
    <row r="2" ht="15" customHeight="1" s="28">
      <c r="A2" s="2" t="inlineStr">
        <is>
          <t>项目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  <c r="G2" s="3" t="inlineStr">
        <is>
          <t>2024</t>
        </is>
      </c>
      <c r="H2" s="3" t="inlineStr">
        <is>
          <t>2025</t>
        </is>
      </c>
    </row>
    <row r="3" ht="15" customHeight="1" s="28">
      <c r="A3" s="7" t="inlineStr">
        <is>
          <t>货币资金</t>
        </is>
      </c>
      <c r="B3" s="31" t="n">
        <v>10773039557.63</v>
      </c>
      <c r="C3" s="31" t="n">
        <v>16332873967.87</v>
      </c>
      <c r="D3" s="31" t="n">
        <v>14070916969.33</v>
      </c>
      <c r="E3" s="31" t="n">
        <v>11157064897.68</v>
      </c>
      <c r="F3" s="31" t="n">
        <v>12959359723.44</v>
      </c>
      <c r="G3" s="31" t="n">
        <v>14583771022.88</v>
      </c>
      <c r="H3" s="31" t="n">
        <v>10648946857.19</v>
      </c>
    </row>
    <row r="4" ht="15" customHeight="1" s="28">
      <c r="A4" s="4" t="inlineStr">
        <is>
          <t xml:space="preserve">  应收票据</t>
        </is>
      </c>
      <c r="B4" s="32" t="n">
        <v>2925000</v>
      </c>
      <c r="C4" s="32" t="n">
        <v>2925000</v>
      </c>
      <c r="D4" s="32" t="n">
        <v>16255258.49</v>
      </c>
      <c r="E4" s="32" t="n">
        <v>16255258.49</v>
      </c>
      <c r="F4" s="32" t="n">
        <v>8285883.55</v>
      </c>
      <c r="G4" s="32" t="n">
        <v>33580281.79</v>
      </c>
      <c r="H4" s="32" t="n">
        <v>190647713.05</v>
      </c>
    </row>
    <row r="5" ht="15" customHeight="1" s="28">
      <c r="A5" s="7" t="inlineStr">
        <is>
          <t xml:space="preserve">  应收账款（账面价值）</t>
        </is>
      </c>
      <c r="B5" s="31" t="n">
        <v>4751530667.67</v>
      </c>
      <c r="C5" s="31" t="n">
        <v>3714395386.12</v>
      </c>
      <c r="D5" s="31" t="n">
        <v>5855787488.09</v>
      </c>
      <c r="E5" s="31" t="n">
        <v>10773783527.49</v>
      </c>
      <c r="F5" s="31" t="n">
        <v>13922887719.49</v>
      </c>
      <c r="G5" s="31" t="n">
        <v>13776923643.11</v>
      </c>
      <c r="H5" s="31" t="n">
        <v>16836798034.54</v>
      </c>
    </row>
    <row r="6" ht="15" customHeight="1" s="28">
      <c r="A6" s="4" t="inlineStr">
        <is>
          <t xml:space="preserve">    其中：应收账款账面余额（账龄附注）</t>
        </is>
      </c>
      <c r="B6" s="32" t="n">
        <v>4984505494.42</v>
      </c>
      <c r="C6" s="32" t="n">
        <v>4007216552.66</v>
      </c>
      <c r="D6" s="32" t="n">
        <v>6291730542.1</v>
      </c>
      <c r="E6" s="32" t="n">
        <v>11424982620.9</v>
      </c>
      <c r="F6" s="32" t="n">
        <v>15050511013.68</v>
      </c>
      <c r="G6" s="32" t="n">
        <v>15153544007.37</v>
      </c>
      <c r="H6" s="32" t="n">
        <v>18396559692.7</v>
      </c>
    </row>
    <row r="7" ht="15" customHeight="1" s="28">
      <c r="A7" s="4" t="inlineStr">
        <is>
          <t xml:space="preserve">    应收账款坏账准备</t>
        </is>
      </c>
      <c r="B7" s="32" t="n">
        <v>232974826.75</v>
      </c>
      <c r="C7" s="32" t="n">
        <v>292821166.54</v>
      </c>
      <c r="D7" s="32" t="n">
        <v>435943054.01</v>
      </c>
      <c r="E7" s="32" t="n">
        <v>651199093.41</v>
      </c>
      <c r="F7" s="32" t="n">
        <v>1127623294.19</v>
      </c>
      <c r="G7" s="32" t="n">
        <v>1376620364.26</v>
      </c>
      <c r="H7" s="32" t="n">
        <v>1559761658.16</v>
      </c>
    </row>
    <row r="8" ht="15" customHeight="1" s="28">
      <c r="A8" s="4" t="inlineStr">
        <is>
          <t xml:space="preserve">  应收款项融资</t>
        </is>
      </c>
      <c r="B8" s="32" t="n">
        <v>826531754.39</v>
      </c>
      <c r="C8" s="32" t="n">
        <v>885896730.91</v>
      </c>
      <c r="D8" s="32" t="n">
        <v>1520524151.53</v>
      </c>
      <c r="E8" s="32" t="n">
        <v>1175566142.98</v>
      </c>
      <c r="F8" s="32" t="n">
        <v>786889059.96</v>
      </c>
      <c r="G8" s="32" t="n">
        <v>964286203.65</v>
      </c>
      <c r="H8" s="32" t="n">
        <v>955117792</v>
      </c>
    </row>
    <row r="9" ht="15" customHeight="1" s="28">
      <c r="A9" s="4" t="inlineStr">
        <is>
          <t xml:space="preserve">  预付款项</t>
        </is>
      </c>
      <c r="B9" s="32" t="n">
        <v>1178728133.16</v>
      </c>
      <c r="C9" s="32" t="n">
        <v>861818096.28</v>
      </c>
      <c r="D9" s="32" t="n">
        <v>500277416.87</v>
      </c>
      <c r="E9" s="32" t="n">
        <v>843632141.9299999</v>
      </c>
      <c r="F9" s="32" t="n">
        <v>765185397.59</v>
      </c>
      <c r="G9" s="32" t="n">
        <v>716624965.91</v>
      </c>
      <c r="H9" s="32" t="n">
        <v>868735535.04</v>
      </c>
    </row>
    <row r="10" ht="15" customHeight="1" s="28">
      <c r="A10" s="7" t="inlineStr">
        <is>
          <t xml:space="preserve">  存货</t>
        </is>
      </c>
      <c r="B10" s="31" t="n">
        <v>2811417105.44</v>
      </c>
      <c r="C10" s="31" t="n">
        <v>8472133832.71</v>
      </c>
      <c r="D10" s="31" t="n">
        <v>9604001791.959999</v>
      </c>
      <c r="E10" s="31" t="n">
        <v>8024077123.53</v>
      </c>
      <c r="F10" s="31" t="n">
        <v>9668695281.76</v>
      </c>
      <c r="G10" s="31" t="n">
        <v>13537532115.73</v>
      </c>
      <c r="H10" s="31" t="n">
        <v>18221890055.29</v>
      </c>
    </row>
    <row r="11" ht="15" customHeight="1" s="28">
      <c r="A11" s="9" t="inlineStr">
        <is>
          <t xml:space="preserve">  合同资产</t>
        </is>
      </c>
      <c r="B11" s="29" t="n">
        <v>0</v>
      </c>
      <c r="C11" s="29" t="n">
        <v>542966499.65</v>
      </c>
      <c r="D11" s="29" t="n">
        <v>530586825.37</v>
      </c>
      <c r="E11" s="29" t="n">
        <v>652644533.38</v>
      </c>
      <c r="F11" s="29" t="n">
        <v>809011938.98</v>
      </c>
      <c r="G11" s="29" t="n">
        <v>662942444.38</v>
      </c>
      <c r="H11" s="29" t="n">
        <v>3155177189.75</v>
      </c>
    </row>
    <row r="12" ht="15" customHeight="1" s="28">
      <c r="A12" s="7" t="inlineStr">
        <is>
          <t xml:space="preserve">  在建工程</t>
        </is>
      </c>
      <c r="B12" s="29" t="n">
        <v>2419880138.3</v>
      </c>
      <c r="C12" s="29" t="n">
        <v>3809145407</v>
      </c>
      <c r="D12" s="29" t="n">
        <v>1388631313.97</v>
      </c>
      <c r="E12" s="29" t="n">
        <v>5606789873.45</v>
      </c>
      <c r="F12" s="29" t="n">
        <v>8777325916.280001</v>
      </c>
      <c r="G12" s="29" t="n">
        <v>4988640821.26</v>
      </c>
      <c r="H12" s="29" t="n">
        <v>3145262251.94</v>
      </c>
    </row>
    <row r="13" ht="15" customHeight="1" s="28">
      <c r="A13" s="7" t="inlineStr">
        <is>
          <t>应付账款</t>
        </is>
      </c>
      <c r="B13" s="29" t="n">
        <v>4804911016.69</v>
      </c>
      <c r="C13" s="29" t="n">
        <v>7855326473.19</v>
      </c>
      <c r="D13" s="29" t="n">
        <v>10172885151.76</v>
      </c>
      <c r="E13" s="29" t="n">
        <v>9660320401.290001</v>
      </c>
      <c r="F13" s="29" t="n">
        <v>11110918339.98</v>
      </c>
      <c r="G13" s="29" t="n">
        <v>13016725356.61</v>
      </c>
      <c r="H13" s="29" t="n">
        <v>17901665179.25</v>
      </c>
    </row>
    <row r="14" ht="15" customHeight="1" s="28">
      <c r="A14" s="9" t="inlineStr">
        <is>
          <t xml:space="preserve">  应付票据</t>
        </is>
      </c>
      <c r="B14" s="29" t="n">
        <v>2728682840.82</v>
      </c>
      <c r="C14" s="29" t="n">
        <v>5197294612.71</v>
      </c>
      <c r="D14" s="29" t="n">
        <v>9264867052.66</v>
      </c>
      <c r="E14" s="29" t="n">
        <v>7568416438.14</v>
      </c>
      <c r="F14" s="29" t="n">
        <v>11381184848.79</v>
      </c>
      <c r="G14" s="29" t="n">
        <v>9517195130.76</v>
      </c>
      <c r="H14" s="29" t="n">
        <v>12329684746.9</v>
      </c>
    </row>
    <row r="15" ht="15" customHeight="1" s="28">
      <c r="A15" s="9" t="inlineStr">
        <is>
          <t>合同负债（预收）</t>
        </is>
      </c>
      <c r="B15" s="29" t="n">
        <v>0</v>
      </c>
      <c r="C15" s="29" t="n">
        <v>8559944751.63</v>
      </c>
      <c r="D15" s="29" t="n">
        <v>8061593776.51</v>
      </c>
      <c r="E15" s="29" t="n">
        <v>7565805012.3</v>
      </c>
      <c r="F15" s="29" t="n">
        <v>7620019245.87</v>
      </c>
      <c r="G15" s="29" t="n">
        <v>9289672830.58</v>
      </c>
      <c r="H15" s="29" t="n">
        <v>9266416106.99</v>
      </c>
    </row>
    <row r="16"/>
    <row r="17" ht="15" customHeight="1" s="28">
      <c r="A17" s="13" t="inlineStr">
        <is>
          <t>数据来源：各年度报告“合并资产负债表”（账面价值）及“财务报表附注—应收账款”（余额/坏账）。2019年合同资产、合同负债无余额（预收款项6,858,917,435.34元保留在“预收款项”项）。应收账款2021—2025账龄“合计”为账面余额，2019—2020为账面价值，本表已将2019—2020余额=价值+坏账还原。</t>
        </is>
      </c>
    </row>
  </sheetData>
  <mergeCells count="2">
    <mergeCell ref="A1:H1"/>
    <mergeCell ref="A17:H17"/>
  </mergeCells>
  <pageMargins left="0.75" right="0.75" top="1" bottom="1" header="0.511811023622047" footer="0.511811023622047"/>
  <pageSetup orientation="portrait" paperSize="1" horizontalDpi="300" verticalDpi="300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11"/>
  <sheetViews>
    <sheetView showGridLines="0" workbookViewId="0">
      <selection activeCell="A1" sqref="A1:H1"/>
    </sheetView>
  </sheetViews>
  <sheetFormatPr baseColWidth="8" defaultColWidth="8" defaultRowHeight="16.8"/>
  <cols>
    <col width="34" customWidth="1" style="28" min="1" max="1"/>
    <col width="14" customWidth="1" style="28" min="2" max="8"/>
  </cols>
  <sheetData>
    <row r="1" ht="15" customHeight="1" s="28">
      <c r="A1" s="1" t="inlineStr">
        <is>
          <t>四、营运资金周转效率（2019—2025年度）</t>
        </is>
      </c>
    </row>
    <row r="2" ht="15" customHeight="1" s="28">
      <c r="A2" s="2" t="inlineStr">
        <is>
          <t>指标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  <c r="G2" s="3" t="inlineStr">
        <is>
          <t>2024</t>
        </is>
      </c>
      <c r="H2" s="3" t="inlineStr">
        <is>
          <t>2025</t>
        </is>
      </c>
    </row>
    <row r="3" ht="15" customHeight="1" s="28">
      <c r="A3" s="4" t="inlineStr">
        <is>
          <t>应收账款周转天数（天）</t>
        </is>
      </c>
      <c r="B3" s="34" t="n">
        <v>165.3</v>
      </c>
      <c r="C3" s="34" t="n">
        <v>68.8</v>
      </c>
      <c r="D3" s="34" t="n">
        <v>64.3</v>
      </c>
      <c r="E3" s="34" t="n">
        <v>98.7</v>
      </c>
      <c r="F3" s="34" t="n">
        <v>161.8</v>
      </c>
      <c r="G3" s="34" t="n">
        <v>186.1</v>
      </c>
      <c r="H3" s="34" t="n">
        <v>146.7</v>
      </c>
    </row>
    <row r="4" ht="15" customHeight="1" s="28">
      <c r="A4" s="4" t="inlineStr">
        <is>
          <t>存货周转天数（天）</t>
        </is>
      </c>
      <c r="B4" s="34" t="n">
        <v>126.4</v>
      </c>
      <c r="C4" s="34" t="n">
        <v>112.6</v>
      </c>
      <c r="D4" s="34" t="n">
        <v>154.6</v>
      </c>
      <c r="E4" s="34" t="n">
        <v>130.8</v>
      </c>
      <c r="F4" s="34" t="n">
        <v>130.5</v>
      </c>
      <c r="G4" s="34" t="n">
        <v>169.7</v>
      </c>
      <c r="H4" s="34" t="n">
        <v>169.7</v>
      </c>
    </row>
    <row r="5" ht="15" customHeight="1" s="28">
      <c r="A5" s="4" t="inlineStr">
        <is>
          <t>应付账款周转天数（天）</t>
        </is>
      </c>
      <c r="B5" s="34" t="n">
        <v>216.1</v>
      </c>
      <c r="C5" s="34" t="n">
        <v>126.3</v>
      </c>
      <c r="D5" s="34" t="n">
        <v>154.2</v>
      </c>
      <c r="E5" s="34" t="n">
        <v>147.1</v>
      </c>
      <c r="F5" s="34" t="n">
        <v>153.2</v>
      </c>
      <c r="G5" s="34" t="n">
        <v>176.4</v>
      </c>
      <c r="H5" s="34" t="n">
        <v>165.2</v>
      </c>
    </row>
    <row r="6" ht="15" customHeight="1" s="28">
      <c r="A6" s="7" t="inlineStr">
        <is>
          <t>现金转换周期（天）</t>
        </is>
      </c>
      <c r="B6" s="35" t="n">
        <v>75.59999999999999</v>
      </c>
      <c r="C6" s="35" t="n">
        <v>55.1</v>
      </c>
      <c r="D6" s="35" t="n">
        <v>64.7</v>
      </c>
      <c r="E6" s="35" t="n">
        <v>82.3</v>
      </c>
      <c r="F6" s="35" t="n">
        <v>139.1</v>
      </c>
      <c r="G6" s="35" t="n">
        <v>179.4</v>
      </c>
      <c r="H6" s="35" t="n">
        <v>151.2</v>
      </c>
    </row>
    <row r="7"/>
    <row r="8" ht="15" customHeight="1" s="28">
      <c r="A8" s="6" t="inlineStr">
        <is>
          <t>说明：周转天数=365/(对应收入或成本/平均占用)，平均占用采用年初年末平均数（应付账款仅含“应付账款”科目，不含应付票据）。</t>
        </is>
      </c>
      <c r="B8" s="6" t="n"/>
      <c r="C8" s="6" t="n"/>
      <c r="D8" s="6" t="n"/>
      <c r="E8" s="6" t="n"/>
      <c r="F8" s="6" t="n"/>
      <c r="G8" s="6" t="n"/>
      <c r="H8" s="6" t="n"/>
    </row>
    <row r="9" ht="15" customHeight="1" s="28">
      <c r="A9" s="6" t="inlineStr">
        <is>
          <t>现金转换周期=应收周转天数+存货周转天数-应付周转天数。2024年达179.4天，反映盈利确认与现金回收之间的显著时差。</t>
        </is>
      </c>
      <c r="B9" s="6" t="n"/>
      <c r="C9" s="6" t="n"/>
      <c r="D9" s="6" t="n"/>
      <c r="E9" s="6" t="n"/>
      <c r="F9" s="6" t="n"/>
      <c r="G9" s="6" t="n"/>
      <c r="H9" s="6" t="n"/>
    </row>
    <row r="10"/>
    <row r="11" ht="15" customHeight="1" s="28">
      <c r="A11" s="13" t="inlineStr">
        <is>
          <t>数据来源：依据各年报合并资产负债表/利润表原始数据自行计算。分子采用年初年末平均数。可与此前各表核对。</t>
        </is>
      </c>
    </row>
  </sheetData>
  <mergeCells count="2">
    <mergeCell ref="A11:H11"/>
    <mergeCell ref="A1:H1"/>
  </mergeCells>
  <pageMargins left="0.75" right="0.75" top="1" bottom="1" header="0.511811023622047" footer="0.511811023622047"/>
  <pageSetup orientation="portrait" paperSize="1" horizontalDpi="300" verticalDpi="300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H16"/>
  <sheetViews>
    <sheetView showGridLines="0" workbookViewId="0">
      <selection activeCell="B2" sqref="B$1:B$1048576"/>
    </sheetView>
  </sheetViews>
  <sheetFormatPr baseColWidth="8" defaultColWidth="8" defaultRowHeight="16.8"/>
  <cols>
    <col width="34" customWidth="1" style="28" min="1" max="1"/>
    <col width="23.5" customWidth="1" style="28" min="2" max="2"/>
    <col width="21.4285714285714" customWidth="1" style="28" min="3" max="3"/>
    <col width="22.0178571428571" customWidth="1" style="28" min="4" max="4"/>
    <col width="26.1875" customWidth="1" style="28" min="5" max="5"/>
    <col width="20.375" customWidth="1" style="28" min="6" max="6"/>
    <col width="19.1964285714286" customWidth="1" style="28" min="7" max="7"/>
    <col width="23.3571428571429" customWidth="1" style="28" min="8" max="8"/>
  </cols>
  <sheetData>
    <row r="1" ht="15" customHeight="1" s="28">
      <c r="A1" s="1" t="inlineStr">
        <is>
          <t>五、融资结构与财务弹性（期末，单位：元）</t>
        </is>
      </c>
    </row>
    <row r="2" ht="15" customHeight="1" s="28">
      <c r="A2" s="2" t="inlineStr">
        <is>
          <t>项目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  <c r="G2" s="3" t="inlineStr">
        <is>
          <t>2024</t>
        </is>
      </c>
      <c r="H2" s="3" t="inlineStr">
        <is>
          <t>2025</t>
        </is>
      </c>
    </row>
    <row r="3" ht="15" customHeight="1" s="28">
      <c r="A3" s="4" t="inlineStr">
        <is>
          <t>短期借款</t>
        </is>
      </c>
      <c r="B3" s="32" t="n">
        <v>1374635099.07</v>
      </c>
      <c r="C3" s="32" t="n">
        <v>149000000</v>
      </c>
      <c r="D3" s="32" t="n">
        <v>98467646.02</v>
      </c>
      <c r="E3" s="32" t="n">
        <v>259513744.63</v>
      </c>
      <c r="F3" s="32" t="n">
        <v>863511594.28</v>
      </c>
      <c r="G3" s="32" t="n">
        <v>1576852627.32</v>
      </c>
      <c r="H3" s="32" t="n">
        <v>3820287364.04</v>
      </c>
    </row>
    <row r="4" ht="15" customHeight="1" s="28">
      <c r="A4" s="4" t="inlineStr">
        <is>
          <t xml:space="preserve">  长期借款</t>
        </is>
      </c>
      <c r="B4" s="32" t="n">
        <v>2848502023.2</v>
      </c>
      <c r="C4" s="32" t="n">
        <v>3598420526</v>
      </c>
      <c r="D4" s="32" t="n">
        <v>3438748336.6</v>
      </c>
      <c r="E4" s="32" t="n">
        <v>5256600986.02</v>
      </c>
      <c r="F4" s="32" t="n">
        <v>11480062600.75</v>
      </c>
      <c r="G4" s="32" t="n">
        <v>13941868567.24</v>
      </c>
      <c r="H4" s="32" t="n">
        <v>13582676284.43</v>
      </c>
    </row>
    <row r="5" ht="15" customHeight="1" s="28">
      <c r="A5" s="4" t="inlineStr">
        <is>
          <t xml:space="preserve">  应付债券</t>
        </is>
      </c>
      <c r="B5" s="32" t="n">
        <v>1805426328.96</v>
      </c>
      <c r="C5" s="32" t="n">
        <v>781207869.86</v>
      </c>
      <c r="D5" s="32" t="n">
        <v>1260376859.76</v>
      </c>
      <c r="E5" s="32" t="n">
        <v>1382153025.3</v>
      </c>
      <c r="F5" s="32" t="n">
        <v>1382153025.3</v>
      </c>
      <c r="G5" s="32" t="n">
        <v>0</v>
      </c>
      <c r="H5" s="32" t="n">
        <v>0</v>
      </c>
    </row>
    <row r="6" ht="15" customHeight="1" s="28">
      <c r="A6" s="4" t="inlineStr">
        <is>
          <t xml:space="preserve">  租赁负债</t>
        </is>
      </c>
      <c r="B6" s="32" t="n">
        <v>0</v>
      </c>
      <c r="C6" s="32" t="n">
        <v>0</v>
      </c>
      <c r="D6" s="32" t="n">
        <v>284538794.8</v>
      </c>
      <c r="E6" s="32" t="n">
        <v>61257922.26</v>
      </c>
      <c r="F6" s="32" t="n">
        <v>280595145.69</v>
      </c>
      <c r="G6" s="32" t="n">
        <v>179232500.52</v>
      </c>
      <c r="H6" s="32" t="n">
        <v>267328810.06</v>
      </c>
    </row>
    <row r="7" ht="15" customHeight="1" s="28">
      <c r="A7" s="7" t="inlineStr">
        <is>
          <t>负债合计</t>
        </is>
      </c>
      <c r="B7" s="31" t="n">
        <v>27603639445.69</v>
      </c>
      <c r="C7" s="31" t="n">
        <v>36543347929.5</v>
      </c>
      <c r="D7" s="31" t="n">
        <v>42998781986.94</v>
      </c>
      <c r="E7" s="31" t="n">
        <v>40574884646.57</v>
      </c>
      <c r="F7" s="31" t="n">
        <v>55406439692.5</v>
      </c>
      <c r="G7" s="31" t="n">
        <v>59531276055.2</v>
      </c>
      <c r="H7" s="31" t="n">
        <v>69455087766.75</v>
      </c>
    </row>
    <row r="8" ht="15" customHeight="1" s="28">
      <c r="A8" s="7" t="inlineStr">
        <is>
          <t>资产总计</t>
        </is>
      </c>
      <c r="B8" s="29" t="n">
        <v>34695611037.01</v>
      </c>
      <c r="C8" s="29" t="n">
        <v>51627844863.52</v>
      </c>
      <c r="D8" s="29" t="n">
        <v>61492929383.64</v>
      </c>
      <c r="E8" s="29" t="n">
        <v>68940224911.06</v>
      </c>
      <c r="F8" s="29" t="n">
        <v>83861255864.75</v>
      </c>
      <c r="G8" s="29" t="n">
        <v>86794501247.32001</v>
      </c>
      <c r="H8" s="29" t="n">
        <v>96853624816.7</v>
      </c>
    </row>
    <row r="9" ht="15" customHeight="1" s="28">
      <c r="A9" s="7" t="inlineStr">
        <is>
          <t>归属于母公司股东权益</t>
        </is>
      </c>
      <c r="B9" s="29" t="n">
        <v>6720578615.8</v>
      </c>
      <c r="C9" s="29" t="n">
        <v>14762198540.3</v>
      </c>
      <c r="D9" s="29" t="n">
        <v>18394542798.91</v>
      </c>
      <c r="E9" s="29" t="n">
        <v>28113710200.58</v>
      </c>
      <c r="F9" s="29" t="n">
        <v>27422713697.82</v>
      </c>
      <c r="G9" s="29" t="n">
        <v>26237473763.09</v>
      </c>
      <c r="H9" s="29" t="n">
        <v>26317003412.97</v>
      </c>
    </row>
    <row r="10"/>
    <row r="11" ht="15" customHeight="1" s="28">
      <c r="A11" s="9" t="inlineStr">
        <is>
          <t>资产负债率（%）</t>
        </is>
      </c>
      <c r="B11" s="12">
        <f>B7/B8*100</f>
        <v/>
      </c>
      <c r="C11" s="12">
        <f>C7/C8*100</f>
        <v/>
      </c>
      <c r="D11" s="12">
        <f>D7/D8*100</f>
        <v/>
      </c>
      <c r="E11" s="12">
        <f>E7/E8*100</f>
        <v/>
      </c>
      <c r="F11" s="12">
        <f>F7/F8*100</f>
        <v/>
      </c>
      <c r="G11" s="12">
        <f>G7/G8*100</f>
        <v/>
      </c>
      <c r="H11" s="12">
        <f>H7/H8*100</f>
        <v/>
      </c>
    </row>
    <row r="12" ht="15" customHeight="1" s="28">
      <c r="A12" s="9" t="inlineStr">
        <is>
          <t xml:space="preserve">  其中：有息债务合计（估算）</t>
        </is>
      </c>
      <c r="B12" s="29">
        <f>B3+B4+B5+B6</f>
        <v/>
      </c>
      <c r="C12" s="29">
        <f>C3+C4+C5+C6</f>
        <v/>
      </c>
      <c r="D12" s="29">
        <f>D3+D4+D5+D6</f>
        <v/>
      </c>
      <c r="E12" s="29">
        <f>E3+E4+E5+E6</f>
        <v/>
      </c>
      <c r="F12" s="29">
        <f>F3+F4+F5+F6</f>
        <v/>
      </c>
      <c r="G12" s="29">
        <f>G3+G4+G5+G6</f>
        <v/>
      </c>
      <c r="H12" s="29">
        <f>H3+H4+H5+H6</f>
        <v/>
      </c>
    </row>
    <row r="13" ht="15" customHeight="1" s="28">
      <c r="A13" s="9" t="inlineStr">
        <is>
          <t xml:space="preserve">  其中：取得借款收到的现金（现金流量表）</t>
        </is>
      </c>
      <c r="B13" s="29" t="n">
        <v>1812179650</v>
      </c>
      <c r="C13" s="29" t="n">
        <v>2700235864.42</v>
      </c>
      <c r="D13" s="29" t="n">
        <v>1116158740.17</v>
      </c>
      <c r="E13" s="29" t="n">
        <v>6165420989</v>
      </c>
      <c r="F13" s="29" t="n">
        <v>13312850697.04</v>
      </c>
      <c r="G13" s="29" t="n">
        <v>12309115160.63</v>
      </c>
      <c r="H13" s="29" t="n">
        <v>9434342677.84</v>
      </c>
    </row>
    <row r="14" ht="15" customHeight="1" s="28">
      <c r="A14" s="9" t="inlineStr">
        <is>
          <t xml:space="preserve">  筹资活动现金流量净额</t>
        </is>
      </c>
      <c r="B14" s="29" t="n">
        <v>3932756956.95</v>
      </c>
      <c r="C14" s="29" t="n">
        <v>5169362889.51</v>
      </c>
      <c r="D14" s="29" t="n">
        <v>-635844492.14</v>
      </c>
      <c r="E14" s="29" t="n">
        <v>7817254538.57</v>
      </c>
      <c r="F14" s="29" t="n">
        <v>10127282182.39</v>
      </c>
      <c r="G14" s="29" t="n">
        <v>6559859516.52</v>
      </c>
      <c r="H14" s="29" t="n">
        <v>3491815978.44</v>
      </c>
    </row>
    <row r="15"/>
    <row r="16" ht="15" customHeight="1" s="28">
      <c r="A16" s="13" t="inlineStr">
        <is>
          <t>数据来源：各年度报告“合并资产负债表”及“合并现金流量表”。有息债务=短借+长借+应付债券+租赁负债（口径自行归并，全期一致；未含“一年内到期的非流动负债”）。2019—2020年租赁负债为0（新租赁准则2021年起执行）。2021—2022年应付债券为可转债（明阳转债等）。</t>
        </is>
      </c>
    </row>
  </sheetData>
  <mergeCells count="2">
    <mergeCell ref="A16:H16"/>
    <mergeCell ref="A1:H1"/>
  </mergeCells>
  <pageMargins left="0.75" right="0.75" top="1" bottom="1" header="0.511811023622047" footer="0.511811023622047"/>
  <pageSetup orientation="portrait" paperSize="1" horizontalDpi="300" verticalDpi="300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H9"/>
  <sheetViews>
    <sheetView showGridLines="0" workbookViewId="0">
      <selection activeCell="E27" sqref="E27"/>
    </sheetView>
  </sheetViews>
  <sheetFormatPr baseColWidth="8" defaultColWidth="8" defaultRowHeight="16.8"/>
  <cols>
    <col width="34" customWidth="1" style="28" min="1" max="1"/>
    <col width="28.4196428571429" customWidth="1" style="28" min="2" max="2"/>
    <col width="25.2946428571429" customWidth="1" style="28" min="3" max="3"/>
    <col width="22.6160714285714" customWidth="1" style="28" min="4" max="4"/>
    <col width="24.9910714285714" customWidth="1" style="28" min="5" max="5"/>
    <col width="22.9107142857143" customWidth="1" style="28" min="6" max="7"/>
    <col width="25.8839285714286" customWidth="1" style="28" min="8" max="8"/>
  </cols>
  <sheetData>
    <row r="1" ht="15" customHeight="1" s="28">
      <c r="A1" s="1" t="inlineStr">
        <is>
          <t>六、投资扩张与资金用途（2019—2025年度，单位：元）</t>
        </is>
      </c>
    </row>
    <row r="2" ht="15" customHeight="1" s="28">
      <c r="A2" s="2" t="inlineStr">
        <is>
          <t>项目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  <c r="G2" s="3" t="inlineStr">
        <is>
          <t>2024</t>
        </is>
      </c>
      <c r="H2" s="3" t="inlineStr">
        <is>
          <t>2025</t>
        </is>
      </c>
    </row>
    <row r="3" ht="15" customHeight="1" s="28">
      <c r="A3" s="7" t="inlineStr">
        <is>
          <t>购建固定资产、无形资产和其他长期资产支付的现金（capex）</t>
        </is>
      </c>
      <c r="B3" s="31" t="n">
        <v>2340212758.15</v>
      </c>
      <c r="C3" s="31" t="n">
        <v>3306031229.98</v>
      </c>
      <c r="D3" s="31" t="n">
        <v>7387059931.94</v>
      </c>
      <c r="E3" s="31" t="n">
        <v>8009114388.48</v>
      </c>
      <c r="F3" s="31" t="n">
        <v>7610557148.1</v>
      </c>
      <c r="G3" s="31" t="n">
        <v>5647153839.85</v>
      </c>
      <c r="H3" s="31" t="n">
        <v>2537943842.92</v>
      </c>
    </row>
    <row r="4" ht="15" customHeight="1" s="28">
      <c r="A4" s="7" t="inlineStr">
        <is>
          <t>投资活动产生的现金流量净额</t>
        </is>
      </c>
      <c r="B4" s="31" t="n">
        <v>-2142709034.5</v>
      </c>
      <c r="C4" s="31" t="n">
        <v>-3763221942.99</v>
      </c>
      <c r="D4" s="31" t="n">
        <v>-6935411973.08</v>
      </c>
      <c r="E4" s="31" t="n">
        <v>-9950135821.99</v>
      </c>
      <c r="F4" s="31" t="n">
        <v>-6131863067.97</v>
      </c>
      <c r="G4" s="31" t="n">
        <v>-2055289312.22</v>
      </c>
      <c r="H4" s="31" t="n">
        <v>-1885422746.8</v>
      </c>
    </row>
    <row r="5" ht="15" customHeight="1" s="28">
      <c r="A5" s="9" t="inlineStr">
        <is>
          <t xml:space="preserve">  在建工程（期末）</t>
        </is>
      </c>
      <c r="B5" s="29" t="n">
        <v>2419880138.3</v>
      </c>
      <c r="C5" s="29" t="n">
        <v>3809145407</v>
      </c>
      <c r="D5" s="29" t="n">
        <v>1388631313.97</v>
      </c>
      <c r="E5" s="29" t="n">
        <v>5606789873.45</v>
      </c>
      <c r="F5" s="29" t="n">
        <v>8777325916.280001</v>
      </c>
      <c r="G5" s="29" t="n">
        <v>4988640821.26</v>
      </c>
      <c r="H5" s="29" t="n">
        <v>3145262251.94</v>
      </c>
    </row>
    <row r="6" ht="15" customHeight="1" s="28">
      <c r="A6" s="9" t="inlineStr">
        <is>
          <t>营业收入（元，引自01表）</t>
        </is>
      </c>
      <c r="B6" s="29" t="n">
        <v>10493157033.56</v>
      </c>
      <c r="C6" s="29" t="n">
        <v>22456987361.3</v>
      </c>
      <c r="D6" s="29" t="n">
        <v>27158048361.4</v>
      </c>
      <c r="E6" s="29" t="n">
        <v>30747775048.56</v>
      </c>
      <c r="F6" s="29" t="n">
        <v>27859076459.8</v>
      </c>
      <c r="G6" s="29" t="n">
        <v>27158316717.94</v>
      </c>
      <c r="H6" s="29" t="n">
        <v>38094969264.43</v>
      </c>
    </row>
    <row r="7" ht="15" customHeight="1" s="28">
      <c r="A7" s="11" t="inlineStr">
        <is>
          <t>capex / 营业收入（%）</t>
        </is>
      </c>
      <c r="B7" s="12">
        <f>B3/B6*100</f>
        <v/>
      </c>
      <c r="C7" s="12">
        <f>C3/C6*100</f>
        <v/>
      </c>
      <c r="D7" s="12">
        <f>D3/D6*100</f>
        <v/>
      </c>
      <c r="E7" s="12">
        <f>E3/E6*100</f>
        <v/>
      </c>
      <c r="F7" s="12">
        <f>F3/F6*100</f>
        <v/>
      </c>
      <c r="G7" s="12">
        <f>G3/G6*100</f>
        <v/>
      </c>
      <c r="H7" s="12">
        <f>H3/H6*100</f>
        <v/>
      </c>
    </row>
    <row r="8"/>
    <row r="9" ht="15" customHeight="1" s="28">
      <c r="A9" s="13" t="inlineStr">
        <is>
          <t>数据来源：各年度报告“合并现金流量表”（投资活动）及“合并资产负债表”（在建工程）。2021—2023年capex持续处于70—80亿元高位，与新能源电站滚动开发投入相关；2025年明显回落。投资活动现金流入/流出明细未逐项提取，仅保留净额。营业收入行引自01表（当年披露口径），用于计算capex占比。</t>
        </is>
      </c>
    </row>
  </sheetData>
  <mergeCells count="2">
    <mergeCell ref="A9:H9"/>
    <mergeCell ref="A1:H1"/>
  </mergeCells>
  <pageMargins left="0.75" right="0.75" top="1" bottom="1" header="0.511811023622047" footer="0.511811023622047"/>
  <pageSetup orientation="portrait" paperSize="1" horizontalDpi="300" verticalDpi="300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H14"/>
  <sheetViews>
    <sheetView showGridLines="0" workbookViewId="0">
      <selection activeCell="A1" sqref="A1:H1"/>
    </sheetView>
  </sheetViews>
  <sheetFormatPr baseColWidth="8" defaultColWidth="8" defaultRowHeight="16.8"/>
  <cols>
    <col width="34" customWidth="1" style="28" min="1" max="1"/>
    <col width="14" customWidth="1" style="28" min="2" max="8"/>
  </cols>
  <sheetData>
    <row r="1" ht="15" customHeight="1" s="28">
      <c r="A1" s="1" t="inlineStr">
        <is>
          <t>七、关键数据年报页码索引（PDF物理页码）</t>
        </is>
      </c>
    </row>
    <row r="2" ht="15" customHeight="1" s="28">
      <c r="A2" s="2" t="inlineStr">
        <is>
          <t>内容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  <c r="G2" s="3" t="inlineStr">
        <is>
          <t>2024</t>
        </is>
      </c>
      <c r="H2" s="3" t="inlineStr">
        <is>
          <t>2025</t>
        </is>
      </c>
    </row>
    <row r="3" ht="15" customHeight="1" s="28">
      <c r="A3" s="4" t="inlineStr">
        <is>
          <t>主要会计数据表</t>
        </is>
      </c>
      <c r="B3" s="5" t="inlineStr">
        <is>
          <t>8-9</t>
        </is>
      </c>
      <c r="C3" s="5" t="inlineStr">
        <is>
          <t>8-9</t>
        </is>
      </c>
      <c r="D3" s="5" t="inlineStr">
        <is>
          <t>7-8</t>
        </is>
      </c>
      <c r="E3" s="5" t="inlineStr">
        <is>
          <t>7-9</t>
        </is>
      </c>
      <c r="F3" s="5" t="inlineStr">
        <is>
          <t>7-8</t>
        </is>
      </c>
      <c r="G3" s="5" t="inlineStr">
        <is>
          <t>8-9</t>
        </is>
      </c>
      <c r="H3" s="5" t="inlineStr">
        <is>
          <t>8-9</t>
        </is>
      </c>
    </row>
    <row r="4" ht="15" customHeight="1" s="28">
      <c r="A4" s="4" t="inlineStr">
        <is>
          <t>合并资产负债表</t>
        </is>
      </c>
      <c r="B4" s="5" t="inlineStr">
        <is>
          <t>97</t>
        </is>
      </c>
      <c r="C4" s="5" t="inlineStr">
        <is>
          <t>110</t>
        </is>
      </c>
      <c r="D4" s="5" t="inlineStr">
        <is>
          <t>105</t>
        </is>
      </c>
      <c r="E4" s="5" t="inlineStr">
        <is>
          <t>94</t>
        </is>
      </c>
      <c r="F4" s="5" t="inlineStr">
        <is>
          <t>89</t>
        </is>
      </c>
      <c r="G4" s="5" t="inlineStr">
        <is>
          <t>94</t>
        </is>
      </c>
      <c r="H4" s="5" t="inlineStr">
        <is>
          <t>97</t>
        </is>
      </c>
    </row>
    <row r="5" ht="15" customHeight="1" s="28">
      <c r="A5" s="4" t="inlineStr">
        <is>
          <t>合并利润表</t>
        </is>
      </c>
      <c r="B5" s="5" t="inlineStr">
        <is>
          <t>102</t>
        </is>
      </c>
      <c r="C5" s="5" t="inlineStr">
        <is>
          <t>114</t>
        </is>
      </c>
      <c r="D5" s="5" t="inlineStr">
        <is>
          <t>109</t>
        </is>
      </c>
      <c r="E5" s="5" t="inlineStr">
        <is>
          <t>98</t>
        </is>
      </c>
      <c r="F5" s="5" t="inlineStr">
        <is>
          <t>93</t>
        </is>
      </c>
      <c r="G5" s="5" t="inlineStr">
        <is>
          <t>98</t>
        </is>
      </c>
      <c r="H5" s="5" t="inlineStr">
        <is>
          <t>101</t>
        </is>
      </c>
    </row>
    <row r="6" ht="15" customHeight="1" s="28">
      <c r="A6" s="4" t="inlineStr">
        <is>
          <t>合并现金流量表</t>
        </is>
      </c>
      <c r="B6" s="5" t="inlineStr">
        <is>
          <t>105</t>
        </is>
      </c>
      <c r="C6" s="5" t="inlineStr">
        <is>
          <t>118</t>
        </is>
      </c>
      <c r="D6" s="5" t="inlineStr">
        <is>
          <t>113</t>
        </is>
      </c>
      <c r="E6" s="5" t="inlineStr">
        <is>
          <t>101</t>
        </is>
      </c>
      <c r="F6" s="5" t="inlineStr">
        <is>
          <t>96</t>
        </is>
      </c>
      <c r="G6" s="5" t="inlineStr">
        <is>
          <t>101</t>
        </is>
      </c>
      <c r="H6" s="5" t="inlineStr">
        <is>
          <t>104</t>
        </is>
      </c>
    </row>
    <row r="7" ht="15" customHeight="1" s="28">
      <c r="A7" s="4" t="inlineStr">
        <is>
          <t>审计报告（意见段）</t>
        </is>
      </c>
      <c r="B7" s="5" t="inlineStr">
        <is>
          <t>93</t>
        </is>
      </c>
      <c r="C7" s="5" t="inlineStr">
        <is>
          <t>107</t>
        </is>
      </c>
      <c r="D7" s="5" t="inlineStr">
        <is>
          <t>102</t>
        </is>
      </c>
      <c r="E7" s="5" t="inlineStr">
        <is>
          <t>90</t>
        </is>
      </c>
      <c r="F7" s="5" t="inlineStr">
        <is>
          <t>85</t>
        </is>
      </c>
      <c r="G7" s="5" t="inlineStr">
        <is>
          <t>91</t>
        </is>
      </c>
      <c r="H7" s="5" t="inlineStr">
        <is>
          <t>94</t>
        </is>
      </c>
    </row>
    <row r="8" ht="15" customHeight="1" s="28">
      <c r="A8" s="4" t="inlineStr">
        <is>
          <t>关键审计事项</t>
        </is>
      </c>
      <c r="B8" s="5" t="inlineStr">
        <is>
          <t>93</t>
        </is>
      </c>
      <c r="C8" s="5" t="inlineStr">
        <is>
          <t>107</t>
        </is>
      </c>
      <c r="D8" s="5" t="inlineStr">
        <is>
          <t>102</t>
        </is>
      </c>
      <c r="E8" s="5" t="inlineStr">
        <is>
          <t>90</t>
        </is>
      </c>
      <c r="F8" s="5" t="inlineStr">
        <is>
          <t>86</t>
        </is>
      </c>
      <c r="G8" s="5" t="inlineStr">
        <is>
          <t>91</t>
        </is>
      </c>
      <c r="H8" s="5" t="inlineStr">
        <is>
          <t>94</t>
        </is>
      </c>
    </row>
    <row r="9" ht="15" customHeight="1" s="28">
      <c r="A9" s="4" t="inlineStr">
        <is>
          <t>应收账款账龄附注</t>
        </is>
      </c>
      <c r="B9" s="5" t="inlineStr">
        <is>
          <t>163</t>
        </is>
      </c>
      <c r="C9" s="5" t="inlineStr">
        <is>
          <t>177</t>
        </is>
      </c>
      <c r="D9" s="5" t="inlineStr">
        <is>
          <t>176</t>
        </is>
      </c>
      <c r="E9" s="5" t="inlineStr">
        <is>
          <t>149</t>
        </is>
      </c>
      <c r="F9" s="5" t="inlineStr">
        <is>
          <t>142</t>
        </is>
      </c>
      <c r="G9" s="5" t="inlineStr">
        <is>
          <t>146</t>
        </is>
      </c>
      <c r="H9" s="5" t="inlineStr">
        <is>
          <t>143</t>
        </is>
      </c>
    </row>
    <row r="10" ht="15" customHeight="1" s="28">
      <c r="A10" s="4" t="inlineStr">
        <is>
          <t>应收账款坏账准备</t>
        </is>
      </c>
      <c r="B10" s="5" t="inlineStr">
        <is>
          <t>163-164</t>
        </is>
      </c>
      <c r="C10" s="5" t="inlineStr">
        <is>
          <t>177-179</t>
        </is>
      </c>
      <c r="D10" s="5" t="inlineStr">
        <is>
          <t>176-178</t>
        </is>
      </c>
      <c r="E10" s="5" t="inlineStr">
        <is>
          <t>149-151</t>
        </is>
      </c>
      <c r="F10" s="5" t="inlineStr">
        <is>
          <t>142-144</t>
        </is>
      </c>
      <c r="G10" s="5" t="inlineStr">
        <is>
          <t>146-148</t>
        </is>
      </c>
      <c r="H10" s="5" t="inlineStr">
        <is>
          <t>143-145</t>
        </is>
      </c>
    </row>
    <row r="11" ht="15" customHeight="1" s="28">
      <c r="A11" s="4" t="inlineStr">
        <is>
          <t>合同资产附注</t>
        </is>
      </c>
      <c r="B11" s="5" t="inlineStr">
        <is>
          <t>135</t>
        </is>
      </c>
      <c r="C11" s="5" t="inlineStr">
        <is>
          <t>140</t>
        </is>
      </c>
      <c r="D11" s="5" t="inlineStr">
        <is>
          <t>136</t>
        </is>
      </c>
      <c r="E11" s="5" t="inlineStr">
        <is>
          <t>120</t>
        </is>
      </c>
      <c r="F11" s="5" t="inlineStr">
        <is>
          <t>108</t>
        </is>
      </c>
      <c r="G11" s="5" t="inlineStr">
        <is>
          <t>113</t>
        </is>
      </c>
      <c r="H11" s="5" t="inlineStr">
        <is>
          <t>118</t>
        </is>
      </c>
    </row>
    <row r="12"/>
    <row r="13" ht="15" customHeight="1" s="28">
      <c r="A13" s="6" t="inlineStr">
        <is>
          <t>注：页码为PDF物理页（即文档底部"/ 325"等标记的页号）。主要会计数据表各年份表内列数不同（含调整后/调整前列），提取当年值取表内首列数值。</t>
        </is>
      </c>
      <c r="B13" s="6" t="n"/>
      <c r="C13" s="6" t="n"/>
      <c r="D13" s="6" t="n"/>
      <c r="E13" s="6" t="n"/>
      <c r="F13" s="6" t="n"/>
      <c r="G13" s="6" t="n"/>
      <c r="H13" s="6" t="n"/>
    </row>
    <row r="14" ht="15" customHeight="1" s="28">
      <c r="A14" s="6" t="inlineStr">
        <is>
          <t>审计机构：2019—2024年度致同会计师事务所（特殊普通合伙）；2025年度安永华明会计师事务所（特殊普通合伙）。均为标准无保留意见。</t>
        </is>
      </c>
      <c r="B14" s="6" t="n"/>
      <c r="C14" s="6" t="n"/>
      <c r="D14" s="6" t="n"/>
      <c r="E14" s="6" t="n"/>
      <c r="F14" s="6" t="n"/>
      <c r="G14" s="6" t="n"/>
      <c r="H14" s="6" t="n"/>
    </row>
  </sheetData>
  <mergeCells count="1">
    <mergeCell ref="A1:H1"/>
  </mergeCells>
  <pageMargins left="0.75" right="0.75" top="1" bottom="1" header="0.511811023622047" footer="0.511811023622047"/>
  <pageSetup orientation="portrait" paperSize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来源状态</t>
        </is>
      </c>
      <c r="B1" t="inlineStr">
        <is>
          <t>工作表</t>
        </is>
      </c>
      <c r="C1" t="inlineStr">
        <is>
          <t>单元格</t>
        </is>
      </c>
      <c r="D1" t="inlineStr">
        <is>
          <t>原值</t>
        </is>
      </c>
      <c r="E1" t="inlineStr">
        <is>
          <t>本轮值</t>
        </is>
      </c>
      <c r="F1" t="inlineStr">
        <is>
          <t>来源文件</t>
        </is>
      </c>
      <c r="G1" t="inlineStr">
        <is>
          <t>PDF页码</t>
        </is>
      </c>
      <c r="H1" t="inlineStr">
        <is>
          <t>说明</t>
        </is>
      </c>
    </row>
    <row r="2">
      <c r="A2" t="inlineStr">
        <is>
          <t>different</t>
        </is>
      </c>
      <c r="B2" t="inlineStr">
        <is>
          <t>02_经营现金收付结构</t>
        </is>
      </c>
      <c r="C2" t="inlineStr">
        <is>
          <t>B4</t>
        </is>
      </c>
      <c r="D2" t="n">
        <v>398548020.79</v>
      </c>
      <c r="E2" t="inlineStr">
        <is>
          <t>57707810.89</t>
        </is>
      </c>
      <c r="F2" t="inlineStr">
        <is>
          <t>20200421.pdf</t>
        </is>
      </c>
      <c r="G2" t="n">
        <v>106</v>
      </c>
      <c r="H2" t="inlineStr">
        <is>
          <t>原件不变；空白列未自动填零；指标原缓存不代表重算</t>
        </is>
      </c>
    </row>
    <row r="3">
      <c r="A3" t="inlineStr">
        <is>
          <t>different</t>
        </is>
      </c>
      <c r="B3" t="inlineStr">
        <is>
          <t>02_经营现金收付结构</t>
        </is>
      </c>
      <c r="C3" t="inlineStr">
        <is>
          <t>C4</t>
        </is>
      </c>
      <c r="D3" t="n">
        <v>704441928.53</v>
      </c>
      <c r="E3" t="inlineStr">
        <is>
          <t>43569922.89</t>
        </is>
      </c>
      <c r="F3" t="inlineStr">
        <is>
          <t>20210416.pdf</t>
        </is>
      </c>
      <c r="G3" t="n">
        <v>118</v>
      </c>
      <c r="H3" t="inlineStr">
        <is>
          <t>原件不变；空白列未自动填零；指标原缓存不代表重算</t>
        </is>
      </c>
    </row>
    <row r="4">
      <c r="A4" t="inlineStr">
        <is>
          <t>different</t>
        </is>
      </c>
      <c r="B4" t="inlineStr">
        <is>
          <t>02_经营现金收付结构</t>
        </is>
      </c>
      <c r="C4" t="inlineStr">
        <is>
          <t>D4</t>
        </is>
      </c>
      <c r="D4" t="n">
        <v>1317076419.24</v>
      </c>
      <c r="E4" t="inlineStr">
        <is>
          <t>300386892.66</t>
        </is>
      </c>
      <c r="F4" t="inlineStr">
        <is>
          <t>20220414.pdf</t>
        </is>
      </c>
      <c r="G4" t="n">
        <v>113</v>
      </c>
      <c r="H4" t="inlineStr">
        <is>
          <t>原件不变；空白列未自动填零；指标原缓存不代表重算</t>
        </is>
      </c>
    </row>
    <row r="5">
      <c r="A5" t="inlineStr">
        <is>
          <t>different</t>
        </is>
      </c>
      <c r="B5" t="inlineStr">
        <is>
          <t>02_经营现金收付结构</t>
        </is>
      </c>
      <c r="C5" t="inlineStr">
        <is>
          <t>E4</t>
        </is>
      </c>
      <c r="D5" t="n">
        <v>1712718384.23</v>
      </c>
      <c r="E5" t="inlineStr">
        <is>
          <t>499775250.65</t>
        </is>
      </c>
      <c r="F5" t="inlineStr">
        <is>
          <t>20230428.pdf</t>
        </is>
      </c>
      <c r="G5" t="n">
        <v>102</v>
      </c>
      <c r="H5" t="inlineStr">
        <is>
          <t>原件不变；空白列未自动填零；指标原缓存不代表重算</t>
        </is>
      </c>
    </row>
    <row r="6">
      <c r="A6" t="inlineStr">
        <is>
          <t>different</t>
        </is>
      </c>
      <c r="B6" t="inlineStr">
        <is>
          <t>02_经营现金收付结构</t>
        </is>
      </c>
      <c r="C6" t="inlineStr">
        <is>
          <t>F4</t>
        </is>
      </c>
      <c r="D6" t="n">
        <v>1017897736.4</v>
      </c>
      <c r="E6" t="inlineStr">
        <is>
          <t>272171263.91</t>
        </is>
      </c>
      <c r="F6" t="inlineStr">
        <is>
          <t>20240428.pdf</t>
        </is>
      </c>
      <c r="G6" t="n">
        <v>97</v>
      </c>
      <c r="H6" t="inlineStr">
        <is>
          <t>原件不变；空白列未自动填零；指标原缓存不代表重算</t>
        </is>
      </c>
    </row>
    <row r="7">
      <c r="A7" t="inlineStr">
        <is>
          <t>different</t>
        </is>
      </c>
      <c r="B7" t="inlineStr">
        <is>
          <t>02_经营现金收付结构</t>
        </is>
      </c>
      <c r="C7" t="inlineStr">
        <is>
          <t>G4</t>
        </is>
      </c>
      <c r="D7" t="n">
        <v>1248073622.03</v>
      </c>
      <c r="E7" t="inlineStr">
        <is>
          <t>228726425.99</t>
        </is>
      </c>
      <c r="F7" t="inlineStr">
        <is>
          <t>20250425.pdf</t>
        </is>
      </c>
      <c r="G7" t="n">
        <v>101</v>
      </c>
      <c r="H7" t="inlineStr">
        <is>
          <t>原件不变；空白列未自动填零；指标原缓存不代表重算</t>
        </is>
      </c>
    </row>
    <row r="8">
      <c r="A8" t="inlineStr">
        <is>
          <t>different</t>
        </is>
      </c>
      <c r="B8" t="inlineStr">
        <is>
          <t>02_经营现金收付结构</t>
        </is>
      </c>
      <c r="C8" t="inlineStr">
        <is>
          <t>H4</t>
        </is>
      </c>
      <c r="D8" t="n">
        <v>1242340573.01</v>
      </c>
      <c r="E8" t="inlineStr">
        <is>
          <t>132639968.45</t>
        </is>
      </c>
      <c r="F8" t="inlineStr">
        <is>
          <t>20260428.pdf</t>
        </is>
      </c>
      <c r="G8" t="n">
        <v>104</v>
      </c>
      <c r="H8" t="inlineStr">
        <is>
          <t>原件不变；空白列未自动填零；指标原缓存不代表重算</t>
        </is>
      </c>
    </row>
    <row r="9">
      <c r="A9" t="inlineStr">
        <is>
          <t>missing_in_ledger</t>
        </is>
      </c>
      <c r="B9" t="inlineStr">
        <is>
          <t>02_经营现金收付结构</t>
        </is>
      </c>
      <c r="C9" t="inlineStr">
        <is>
          <t>B8</t>
        </is>
      </c>
      <c r="E9" t="inlineStr">
        <is>
          <t>398548020.79</t>
        </is>
      </c>
      <c r="F9" t="inlineStr">
        <is>
          <t>20200421.pdf</t>
        </is>
      </c>
      <c r="G9" t="n">
        <v>106</v>
      </c>
      <c r="H9" t="inlineStr">
        <is>
          <t>原件不变；空白列未自动填零；指标原缓存不代表重算</t>
        </is>
      </c>
    </row>
    <row r="10">
      <c r="A10" t="inlineStr">
        <is>
          <t>missing_in_ledger</t>
        </is>
      </c>
      <c r="B10" t="inlineStr">
        <is>
          <t>02_经营现金收付结构</t>
        </is>
      </c>
      <c r="C10" t="inlineStr">
        <is>
          <t>C8</t>
        </is>
      </c>
      <c r="E10" t="inlineStr">
        <is>
          <t>704441928.53</t>
        </is>
      </c>
      <c r="F10" t="inlineStr">
        <is>
          <t>20210416.pdf</t>
        </is>
      </c>
      <c r="G10" t="n">
        <v>118</v>
      </c>
      <c r="H10" t="inlineStr">
        <is>
          <t>原件不变；空白列未自动填零；指标原缓存不代表重算</t>
        </is>
      </c>
    </row>
    <row r="11">
      <c r="A11" t="inlineStr">
        <is>
          <t>missing_in_ledger</t>
        </is>
      </c>
      <c r="B11" t="inlineStr">
        <is>
          <t>02_经营现金收付结构</t>
        </is>
      </c>
      <c r="C11" t="inlineStr">
        <is>
          <t>D8</t>
        </is>
      </c>
      <c r="E11" t="inlineStr">
        <is>
          <t>1317076419.24</t>
        </is>
      </c>
      <c r="F11" t="inlineStr">
        <is>
          <t>20220414.pdf</t>
        </is>
      </c>
      <c r="G11" t="n">
        <v>113</v>
      </c>
      <c r="H11" t="inlineStr">
        <is>
          <t>原件不变；空白列未自动填零；指标原缓存不代表重算</t>
        </is>
      </c>
    </row>
    <row r="12">
      <c r="A12" t="inlineStr">
        <is>
          <t>missing_in_ledger</t>
        </is>
      </c>
      <c r="B12" t="inlineStr">
        <is>
          <t>02_经营现金收付结构</t>
        </is>
      </c>
      <c r="C12" t="inlineStr">
        <is>
          <t>E8</t>
        </is>
      </c>
      <c r="E12" t="inlineStr">
        <is>
          <t>1712718384.23</t>
        </is>
      </c>
      <c r="F12" t="inlineStr">
        <is>
          <t>20230428.pdf</t>
        </is>
      </c>
      <c r="G12" t="n">
        <v>102</v>
      </c>
      <c r="H12" t="inlineStr">
        <is>
          <t>原件不变；空白列未自动填零；指标原缓存不代表重算</t>
        </is>
      </c>
    </row>
    <row r="13">
      <c r="A13" t="inlineStr">
        <is>
          <t>missing_in_ledger</t>
        </is>
      </c>
      <c r="B13" t="inlineStr">
        <is>
          <t>02_经营现金收付结构</t>
        </is>
      </c>
      <c r="C13" t="inlineStr">
        <is>
          <t>F8</t>
        </is>
      </c>
      <c r="E13" t="inlineStr">
        <is>
          <t>1017897736.40</t>
        </is>
      </c>
      <c r="F13" t="inlineStr">
        <is>
          <t>20240428.pdf</t>
        </is>
      </c>
      <c r="G13" t="n">
        <v>97</v>
      </c>
      <c r="H13" t="inlineStr">
        <is>
          <t>原件不变；空白列未自动填零；指标原缓存不代表重算</t>
        </is>
      </c>
    </row>
    <row r="14">
      <c r="A14" t="inlineStr">
        <is>
          <t>missing_in_ledger</t>
        </is>
      </c>
      <c r="B14" t="inlineStr">
        <is>
          <t>02_经营现金收付结构</t>
        </is>
      </c>
      <c r="C14" t="inlineStr">
        <is>
          <t>G8</t>
        </is>
      </c>
      <c r="E14" t="inlineStr">
        <is>
          <t>1248073622.03</t>
        </is>
      </c>
      <c r="F14" t="inlineStr">
        <is>
          <t>20250425.pdf</t>
        </is>
      </c>
      <c r="G14" t="n">
        <v>102</v>
      </c>
      <c r="H14" t="inlineStr">
        <is>
          <t>原件不变；空白列未自动填零；指标原缓存不代表重算</t>
        </is>
      </c>
    </row>
    <row r="15">
      <c r="A15" t="inlineStr">
        <is>
          <t>missing_in_ledger</t>
        </is>
      </c>
      <c r="B15" t="inlineStr">
        <is>
          <t>02_经营现金收付结构</t>
        </is>
      </c>
      <c r="C15" t="inlineStr">
        <is>
          <t>H8</t>
        </is>
      </c>
      <c r="E15" t="inlineStr">
        <is>
          <t>1242340573.01</t>
        </is>
      </c>
      <c r="F15" t="inlineStr">
        <is>
          <t>20260428.pdf</t>
        </is>
      </c>
      <c r="G15" t="n">
        <v>105</v>
      </c>
      <c r="H15" t="inlineStr">
        <is>
          <t>原件不变；空白列未自动填零；指标原缓存不代表重算</t>
        </is>
      </c>
    </row>
    <row r="16">
      <c r="A16" t="inlineStr">
        <is>
          <t>ledger_numeric_source_blank</t>
        </is>
      </c>
      <c r="B16" t="inlineStr">
        <is>
          <t>03_经营性资产负债占用</t>
        </is>
      </c>
      <c r="C16" t="inlineStr">
        <is>
          <t>C4</t>
        </is>
      </c>
      <c r="D16" t="n">
        <v>2925000</v>
      </c>
      <c r="F16" t="inlineStr">
        <is>
          <t>20210416.pdf</t>
        </is>
      </c>
      <c r="G16" t="n">
        <v>110</v>
      </c>
      <c r="H16" t="inlineStr">
        <is>
          <t>原件不变；空白列未自动填零；指标原缓存不代表重算</t>
        </is>
      </c>
    </row>
    <row r="17">
      <c r="A17" t="inlineStr">
        <is>
          <t>ledger_numeric_source_blank</t>
        </is>
      </c>
      <c r="B17" t="inlineStr">
        <is>
          <t>03_经营性资产负债占用</t>
        </is>
      </c>
      <c r="C17" t="inlineStr">
        <is>
          <t>E4</t>
        </is>
      </c>
      <c r="D17" t="n">
        <v>16255258.49</v>
      </c>
      <c r="F17" t="inlineStr">
        <is>
          <t>20230428.pdf</t>
        </is>
      </c>
      <c r="G17" t="n">
        <v>94</v>
      </c>
      <c r="H17" t="inlineStr">
        <is>
          <t>原件不变；空白列未自动填零；指标原缓存不代表重算</t>
        </is>
      </c>
    </row>
    <row r="18">
      <c r="A18" t="inlineStr">
        <is>
          <t>ledger_numeric_source_blank</t>
        </is>
      </c>
      <c r="B18" t="inlineStr">
        <is>
          <t>03_经营性资产负债占用</t>
        </is>
      </c>
      <c r="C18" t="inlineStr">
        <is>
          <t>B11</t>
        </is>
      </c>
      <c r="D18" t="n">
        <v>0</v>
      </c>
      <c r="F18" t="inlineStr">
        <is>
          <t>20200421.pdf</t>
        </is>
      </c>
      <c r="G18" t="n">
        <v>98</v>
      </c>
      <c r="H18" t="inlineStr">
        <is>
          <t>原件不变；空白列未自动填零；指标原缓存不代表重算</t>
        </is>
      </c>
    </row>
    <row r="19">
      <c r="A19" t="inlineStr">
        <is>
          <t>ledger_numeric_source_blank</t>
        </is>
      </c>
      <c r="B19" t="inlineStr">
        <is>
          <t>03_经营性资产负债占用</t>
        </is>
      </c>
      <c r="C19" t="inlineStr">
        <is>
          <t>B15</t>
        </is>
      </c>
      <c r="D19" t="n">
        <v>0</v>
      </c>
      <c r="F19" t="inlineStr">
        <is>
          <t>20200421.pdf</t>
        </is>
      </c>
      <c r="G19" t="n">
        <v>99</v>
      </c>
      <c r="H19" t="inlineStr">
        <is>
          <t>原件不变；空白列未自动填零；指标原缓存不代表重算</t>
        </is>
      </c>
    </row>
    <row r="20">
      <c r="A20" t="inlineStr">
        <is>
          <t>ledger_numeric_source_blank</t>
        </is>
      </c>
      <c r="B20" t="inlineStr">
        <is>
          <t>05_融资结构与财务弹性</t>
        </is>
      </c>
      <c r="C20" t="inlineStr">
        <is>
          <t>F5</t>
        </is>
      </c>
      <c r="D20" t="n">
        <v>1382153025.3</v>
      </c>
      <c r="F20" t="inlineStr">
        <is>
          <t>20240428.pdf</t>
        </is>
      </c>
      <c r="G20" t="n">
        <v>91</v>
      </c>
      <c r="H20" t="inlineStr">
        <is>
          <t>原件不变；空白列未自动填零；指标原缓存不代表重算</t>
        </is>
      </c>
    </row>
    <row r="21">
      <c r="A21" t="inlineStr">
        <is>
          <t>ledger_numeric_source_blank</t>
        </is>
      </c>
      <c r="B21" t="inlineStr">
        <is>
          <t>05_融资结构与财务弹性</t>
        </is>
      </c>
      <c r="C21" t="inlineStr">
        <is>
          <t>G5</t>
        </is>
      </c>
      <c r="D21" t="n">
        <v>0</v>
      </c>
      <c r="F21" t="inlineStr">
        <is>
          <t>20250425.pdf</t>
        </is>
      </c>
      <c r="G21" t="n">
        <v>96</v>
      </c>
      <c r="H21" t="inlineStr">
        <is>
          <t>原件不变；空白列未自动填零；指标原缓存不代表重算</t>
        </is>
      </c>
    </row>
    <row r="22">
      <c r="A22" t="inlineStr">
        <is>
          <t>ledger_numeric_source_blank</t>
        </is>
      </c>
      <c r="B22" t="inlineStr">
        <is>
          <t>05_融资结构与财务弹性</t>
        </is>
      </c>
      <c r="C22" t="inlineStr">
        <is>
          <t>H5</t>
        </is>
      </c>
      <c r="D22" t="n">
        <v>0</v>
      </c>
      <c r="F22" t="inlineStr">
        <is>
          <t>20260428.pdf</t>
        </is>
      </c>
      <c r="G22" t="n">
        <v>98</v>
      </c>
      <c r="H22" t="inlineStr">
        <is>
          <t>原件不变；空白列未自动填零；指标原缓存不代表重算</t>
        </is>
      </c>
    </row>
    <row r="23">
      <c r="A23" t="inlineStr">
        <is>
          <t>ledger_numeric_source_blank</t>
        </is>
      </c>
      <c r="B23" t="inlineStr">
        <is>
          <t>05_融资结构与财务弹性</t>
        </is>
      </c>
      <c r="C23" t="inlineStr">
        <is>
          <t>B6</t>
        </is>
      </c>
      <c r="D23" t="n">
        <v>0</v>
      </c>
      <c r="F23" t="inlineStr">
        <is>
          <t>20200421.pdf</t>
        </is>
      </c>
      <c r="G23" t="n">
        <v>99</v>
      </c>
      <c r="H23" t="inlineStr">
        <is>
          <t>原件不变；空白列未自动填零；指标原缓存不代表重算</t>
        </is>
      </c>
    </row>
    <row r="24">
      <c r="A24" t="inlineStr">
        <is>
          <t>ledger_numeric_source_blank</t>
        </is>
      </c>
      <c r="B24" t="inlineStr">
        <is>
          <t>05_融资结构与财务弹性</t>
        </is>
      </c>
      <c r="C24" t="inlineStr">
        <is>
          <t>C6</t>
        </is>
      </c>
      <c r="D24" t="n">
        <v>0</v>
      </c>
      <c r="F24" t="inlineStr">
        <is>
          <t>20210416.pdf</t>
        </is>
      </c>
      <c r="G24" t="n">
        <v>112</v>
      </c>
      <c r="H24" t="inlineStr">
        <is>
          <t>原件不变；空白列未自动填零；指标原缓存不代表重算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工作表</t>
        </is>
      </c>
      <c r="B1" t="inlineStr">
        <is>
          <t>单元格</t>
        </is>
      </c>
      <c r="C1" t="inlineStr">
        <is>
          <t>原公式</t>
        </is>
      </c>
      <c r="D1" t="inlineStr">
        <is>
          <t>原缓存值</t>
        </is>
      </c>
      <c r="E1" t="inlineStr">
        <is>
          <t>状态</t>
        </is>
      </c>
    </row>
    <row r="2">
      <c r="A2" t="inlineStr">
        <is>
          <t>01_盈利-现金核心序列</t>
        </is>
      </c>
      <c r="B2" t="inlineStr">
        <is>
          <t>B10</t>
        </is>
      </c>
      <c r="C2" t="inlineStr">
        <is>
          <t>=B9/B7</t>
        </is>
      </c>
      <c r="D2" t="n">
        <v>8.076847439789089</v>
      </c>
      <c r="E2" t="inlineStr">
        <is>
          <t>原台账缓存，未重新计算</t>
        </is>
      </c>
    </row>
    <row r="3">
      <c r="A3" t="inlineStr">
        <is>
          <t>01_盈利-现金核心序列</t>
        </is>
      </c>
      <c r="B3" t="inlineStr">
        <is>
          <t>C10</t>
        </is>
      </c>
      <c r="C3" t="inlineStr">
        <is>
          <t>=C9/C7</t>
        </is>
      </c>
      <c r="D3" t="n">
        <v>2.64233308104975</v>
      </c>
      <c r="E3" t="inlineStr">
        <is>
          <t>原台账缓存，未重新计算</t>
        </is>
      </c>
    </row>
    <row r="4">
      <c r="A4" t="inlineStr">
        <is>
          <t>01_盈利-现金核心序列</t>
        </is>
      </c>
      <c r="B4" t="inlineStr">
        <is>
          <t>D10</t>
        </is>
      </c>
      <c r="C4" t="inlineStr">
        <is>
          <t>=D9/D7</t>
        </is>
      </c>
      <c r="D4" t="n">
        <v>1.74051078579305</v>
      </c>
      <c r="E4" t="inlineStr">
        <is>
          <t>原台账缓存，未重新计算</t>
        </is>
      </c>
    </row>
    <row r="5">
      <c r="A5" t="inlineStr">
        <is>
          <t>01_盈利-现金核心序列</t>
        </is>
      </c>
      <c r="B5" t="inlineStr">
        <is>
          <t>E10</t>
        </is>
      </c>
      <c r="C5" t="inlineStr">
        <is>
          <t>=E9/E7</t>
        </is>
      </c>
      <c r="D5" t="n">
        <v>-0.230387371317959</v>
      </c>
      <c r="E5" t="inlineStr">
        <is>
          <t>原台账缓存，未重新计算</t>
        </is>
      </c>
    </row>
    <row r="6">
      <c r="A6" t="inlineStr">
        <is>
          <t>01_盈利-现金核心序列</t>
        </is>
      </c>
      <c r="B6" t="inlineStr">
        <is>
          <t>F10</t>
        </is>
      </c>
      <c r="C6" t="inlineStr">
        <is>
          <t>=F9/F7</t>
        </is>
      </c>
      <c r="D6" t="n">
        <v>-6.95809049947862</v>
      </c>
      <c r="E6" t="inlineStr">
        <is>
          <t>原台账缓存，未重新计算</t>
        </is>
      </c>
    </row>
    <row r="7">
      <c r="A7" t="inlineStr">
        <is>
          <t>01_盈利-现金核心序列</t>
        </is>
      </c>
      <c r="B7" t="inlineStr">
        <is>
          <t>G10</t>
        </is>
      </c>
      <c r="C7" t="inlineStr">
        <is>
          <t>=G9/G7</t>
        </is>
      </c>
      <c r="D7" t="n">
        <v>-6.94327127904242</v>
      </c>
      <c r="E7" t="inlineStr">
        <is>
          <t>原台账缓存，未重新计算</t>
        </is>
      </c>
    </row>
    <row r="8">
      <c r="A8" t="inlineStr">
        <is>
          <t>01_盈利-现金核心序列</t>
        </is>
      </c>
      <c r="B8" t="inlineStr">
        <is>
          <t>H10</t>
        </is>
      </c>
      <c r="C8" t="inlineStr">
        <is>
          <t>=H9/H7</t>
        </is>
      </c>
      <c r="D8" t="n">
        <v>-8.39262391409056</v>
      </c>
      <c r="E8" t="inlineStr">
        <is>
          <t>原台账缓存，未重新计算</t>
        </is>
      </c>
    </row>
    <row r="9">
      <c r="A9" t="inlineStr">
        <is>
          <t>01_盈利-现金核心序列</t>
        </is>
      </c>
      <c r="B9" t="inlineStr">
        <is>
          <t>B12</t>
        </is>
      </c>
      <c r="C9" t="inlineStr">
        <is>
          <t>=B3/100000000</t>
        </is>
      </c>
      <c r="D9" t="n">
        <v>104.9315703356</v>
      </c>
      <c r="E9" t="inlineStr">
        <is>
          <t>原台账缓存，未重新计算</t>
        </is>
      </c>
    </row>
    <row r="10">
      <c r="A10" t="inlineStr">
        <is>
          <t>01_盈利-现金核心序列</t>
        </is>
      </c>
      <c r="B10" t="inlineStr">
        <is>
          <t>C12</t>
        </is>
      </c>
      <c r="C10" t="inlineStr">
        <is>
          <t>=C3/100000000</t>
        </is>
      </c>
      <c r="D10" t="n">
        <v>224.569873613</v>
      </c>
      <c r="E10" t="inlineStr">
        <is>
          <t>原台账缓存，未重新计算</t>
        </is>
      </c>
    </row>
    <row r="11">
      <c r="A11" t="inlineStr">
        <is>
          <t>01_盈利-现金核心序列</t>
        </is>
      </c>
      <c r="B11" t="inlineStr">
        <is>
          <t>D12</t>
        </is>
      </c>
      <c r="C11" t="inlineStr">
        <is>
          <t>=D3/100000000</t>
        </is>
      </c>
      <c r="D11" t="n">
        <v>271.580483614</v>
      </c>
      <c r="E11" t="inlineStr">
        <is>
          <t>原台账缓存，未重新计算</t>
        </is>
      </c>
    </row>
    <row r="12">
      <c r="A12" t="inlineStr">
        <is>
          <t>01_盈利-现金核心序列</t>
        </is>
      </c>
      <c r="B12" t="inlineStr">
        <is>
          <t>E12</t>
        </is>
      </c>
      <c r="C12" t="inlineStr">
        <is>
          <t>=E3/100000000</t>
        </is>
      </c>
      <c r="D12" t="n">
        <v>307.4777504856</v>
      </c>
      <c r="E12" t="inlineStr">
        <is>
          <t>原台账缓存，未重新计算</t>
        </is>
      </c>
    </row>
    <row r="13">
      <c r="A13" t="inlineStr">
        <is>
          <t>01_盈利-现金核心序列</t>
        </is>
      </c>
      <c r="B13" t="inlineStr">
        <is>
          <t>F12</t>
        </is>
      </c>
      <c r="C13" t="inlineStr">
        <is>
          <t>=F3/100000000</t>
        </is>
      </c>
      <c r="D13" t="n">
        <v>278.590764598</v>
      </c>
      <c r="E13" t="inlineStr">
        <is>
          <t>原台账缓存，未重新计算</t>
        </is>
      </c>
    </row>
    <row r="14">
      <c r="A14" t="inlineStr">
        <is>
          <t>01_盈利-现金核心序列</t>
        </is>
      </c>
      <c r="B14" t="inlineStr">
        <is>
          <t>G12</t>
        </is>
      </c>
      <c r="C14" t="inlineStr">
        <is>
          <t>=G3/100000000</t>
        </is>
      </c>
      <c r="D14" t="n">
        <v>271.5831671794</v>
      </c>
      <c r="E14" t="inlineStr">
        <is>
          <t>原台账缓存，未重新计算</t>
        </is>
      </c>
    </row>
    <row r="15">
      <c r="A15" t="inlineStr">
        <is>
          <t>01_盈利-现金核心序列</t>
        </is>
      </c>
      <c r="B15" t="inlineStr">
        <is>
          <t>H12</t>
        </is>
      </c>
      <c r="C15" t="inlineStr">
        <is>
          <t>=H3/100000000</t>
        </is>
      </c>
      <c r="D15" t="n">
        <v>380.9496926443</v>
      </c>
      <c r="E15" t="inlineStr">
        <is>
          <t>原台账缓存，未重新计算</t>
        </is>
      </c>
    </row>
    <row r="16">
      <c r="A16" t="inlineStr">
        <is>
          <t>01_盈利-现金核心序列</t>
        </is>
      </c>
      <c r="B16" t="inlineStr">
        <is>
          <t>B13</t>
        </is>
      </c>
      <c r="C16" t="inlineStr">
        <is>
          <t>=B7/100000000</t>
        </is>
      </c>
      <c r="D16" t="n">
        <v>7.1256319287</v>
      </c>
      <c r="E16" t="inlineStr">
        <is>
          <t>原台账缓存，未重新计算</t>
        </is>
      </c>
    </row>
    <row r="17">
      <c r="A17" t="inlineStr">
        <is>
          <t>01_盈利-现金核心序列</t>
        </is>
      </c>
      <c r="B17" t="inlineStr">
        <is>
          <t>C13</t>
        </is>
      </c>
      <c r="C17" t="inlineStr">
        <is>
          <t>=C7/100000000</t>
        </is>
      </c>
      <c r="D17" t="n">
        <v>13.7407130607</v>
      </c>
      <c r="E17" t="inlineStr">
        <is>
          <t>原台账缓存，未重新计算</t>
        </is>
      </c>
    </row>
    <row r="18">
      <c r="A18" t="inlineStr">
        <is>
          <t>01_盈利-现金核心序列</t>
        </is>
      </c>
      <c r="B18" t="inlineStr">
        <is>
          <t>D13</t>
        </is>
      </c>
      <c r="C18" t="inlineStr">
        <is>
          <t>=D7/100000000</t>
        </is>
      </c>
      <c r="D18" t="n">
        <v>31.0112379152</v>
      </c>
      <c r="E18" t="inlineStr">
        <is>
          <t>原台账缓存，未重新计算</t>
        </is>
      </c>
    </row>
    <row r="19">
      <c r="A19" t="inlineStr">
        <is>
          <t>01_盈利-现金核心序列</t>
        </is>
      </c>
      <c r="B19" t="inlineStr">
        <is>
          <t>E13</t>
        </is>
      </c>
      <c r="C19" t="inlineStr">
        <is>
          <t>=E7/100000000</t>
        </is>
      </c>
      <c r="D19" t="n">
        <v>34.5460751289</v>
      </c>
      <c r="E19" t="inlineStr">
        <is>
          <t>原台账缓存，未重新计算</t>
        </is>
      </c>
    </row>
    <row r="20">
      <c r="A20" t="inlineStr">
        <is>
          <t>01_盈利-现金核心序列</t>
        </is>
      </c>
      <c r="B20" t="inlineStr">
        <is>
          <t>F13</t>
        </is>
      </c>
      <c r="C20" t="inlineStr">
        <is>
          <t>=F7/100000000</t>
        </is>
      </c>
      <c r="D20" t="n">
        <v>3.7245121645</v>
      </c>
      <c r="E20" t="inlineStr">
        <is>
          <t>原台账缓存，未重新计算</t>
        </is>
      </c>
    </row>
    <row r="21">
      <c r="A21" t="inlineStr">
        <is>
          <t>01_盈利-现金核心序列</t>
        </is>
      </c>
      <c r="B21" t="inlineStr">
        <is>
          <t>G13</t>
        </is>
      </c>
      <c r="C21" t="inlineStr">
        <is>
          <t>=G7/100000000</t>
        </is>
      </c>
      <c r="D21" t="n">
        <v>3.4611449348</v>
      </c>
      <c r="E21" t="inlineStr">
        <is>
          <t>原台账缓存，未重新计算</t>
        </is>
      </c>
    </row>
    <row r="22">
      <c r="A22" t="inlineStr">
        <is>
          <t>01_盈利-现金核心序列</t>
        </is>
      </c>
      <c r="B22" t="inlineStr">
        <is>
          <t>H13</t>
        </is>
      </c>
      <c r="C22" t="inlineStr">
        <is>
          <t>=H7/100000000</t>
        </is>
      </c>
      <c r="D22" t="n">
        <v>6.5987373273</v>
      </c>
      <c r="E22" t="inlineStr">
        <is>
          <t>原台账缓存，未重新计算</t>
        </is>
      </c>
    </row>
    <row r="23">
      <c r="A23" t="inlineStr">
        <is>
          <t>01_盈利-现金核心序列</t>
        </is>
      </c>
      <c r="B23" t="inlineStr">
        <is>
          <t>B14</t>
        </is>
      </c>
      <c r="C23" t="inlineStr">
        <is>
          <t>=B9/100000000</t>
        </is>
      </c>
      <c r="D23" t="n">
        <v>57.5526420002</v>
      </c>
      <c r="E23" t="inlineStr">
        <is>
          <t>原台账缓存，未重新计算</t>
        </is>
      </c>
    </row>
    <row r="24">
      <c r="A24" t="inlineStr">
        <is>
          <t>01_盈利-现金核心序列</t>
        </is>
      </c>
      <c r="B24" t="inlineStr">
        <is>
          <t>C14</t>
        </is>
      </c>
      <c r="C24" t="inlineStr">
        <is>
          <t>=C9/100000000</t>
        </is>
      </c>
      <c r="D24" t="n">
        <v>36.3075406775</v>
      </c>
      <c r="E24" t="inlineStr">
        <is>
          <t>原台账缓存，未重新计算</t>
        </is>
      </c>
    </row>
    <row r="25">
      <c r="A25" t="inlineStr">
        <is>
          <t>01_盈利-现金核心序列</t>
        </is>
      </c>
      <c r="B25" t="inlineStr">
        <is>
          <t>D14</t>
        </is>
      </c>
      <c r="C25" t="inlineStr">
        <is>
          <t>=D9/100000000</t>
        </is>
      </c>
      <c r="D25" t="n">
        <v>53.9753940722</v>
      </c>
      <c r="E25" t="inlineStr">
        <is>
          <t>原台账缓存，未重新计算</t>
        </is>
      </c>
    </row>
    <row r="26">
      <c r="A26" t="inlineStr">
        <is>
          <t>01_盈利-现金核心序列</t>
        </is>
      </c>
      <c r="B26" t="inlineStr">
        <is>
          <t>E14</t>
        </is>
      </c>
      <c r="C26" t="inlineStr">
        <is>
          <t>=E9/100000000</t>
        </is>
      </c>
      <c r="D26" t="n">
        <v>-7.9589794383</v>
      </c>
      <c r="E26" t="inlineStr">
        <is>
          <t>原台账缓存，未重新计算</t>
        </is>
      </c>
    </row>
    <row r="27">
      <c r="A27" t="inlineStr">
        <is>
          <t>01_盈利-现金核心序列</t>
        </is>
      </c>
      <c r="B27" t="inlineStr">
        <is>
          <t>F14</t>
        </is>
      </c>
      <c r="C27" t="inlineStr">
        <is>
          <t>=F9/100000000</t>
        </is>
      </c>
      <c r="D27" t="n">
        <v>-25.915492707</v>
      </c>
      <c r="E27" t="inlineStr">
        <is>
          <t>原台账缓存，未重新计算</t>
        </is>
      </c>
    </row>
    <row r="28">
      <c r="A28" t="inlineStr">
        <is>
          <t>01_盈利-现金核心序列</t>
        </is>
      </c>
      <c r="B28" t="inlineStr">
        <is>
          <t>G14</t>
        </is>
      </c>
      <c r="C28" t="inlineStr">
        <is>
          <t>=G9/100000000</t>
        </is>
      </c>
      <c r="D28" t="n">
        <v>-24.0316682184</v>
      </c>
      <c r="E28" t="inlineStr">
        <is>
          <t>原台账缓存，未重新计算</t>
        </is>
      </c>
    </row>
    <row r="29">
      <c r="A29" t="inlineStr">
        <is>
          <t>01_盈利-现金核心序列</t>
        </is>
      </c>
      <c r="B29" t="inlineStr">
        <is>
          <t>H14</t>
        </is>
      </c>
      <c r="C29" t="inlineStr">
        <is>
          <t>=H9/100000000</t>
        </is>
      </c>
      <c r="D29" t="n">
        <v>-55.3807206959</v>
      </c>
      <c r="E29" t="inlineStr">
        <is>
          <t>原台账缓存，未重新计算</t>
        </is>
      </c>
    </row>
    <row r="30">
      <c r="A30" t="inlineStr">
        <is>
          <t>02_经营现金收付结构</t>
        </is>
      </c>
      <c r="B30" t="inlineStr">
        <is>
          <t>B12</t>
        </is>
      </c>
      <c r="C30" t="inlineStr">
        <is>
          <t>=B5-B9</t>
        </is>
      </c>
      <c r="D30" t="n">
        <v>5755264200.02</v>
      </c>
      <c r="E30" t="inlineStr">
        <is>
          <t>原台账缓存，未重新计算</t>
        </is>
      </c>
    </row>
    <row r="31">
      <c r="A31" t="inlineStr">
        <is>
          <t>02_经营现金收付结构</t>
        </is>
      </c>
      <c r="B31" t="inlineStr">
        <is>
          <t>C12</t>
        </is>
      </c>
      <c r="C31" t="inlineStr">
        <is>
          <t>=C5-C9</t>
        </is>
      </c>
      <c r="D31" t="n">
        <v>3630754067.75</v>
      </c>
      <c r="E31" t="inlineStr">
        <is>
          <t>原台账缓存，未重新计算</t>
        </is>
      </c>
    </row>
    <row r="32">
      <c r="A32" t="inlineStr">
        <is>
          <t>02_经营现金收付结构</t>
        </is>
      </c>
      <c r="B32" t="inlineStr">
        <is>
          <t>D12</t>
        </is>
      </c>
      <c r="C32" t="inlineStr">
        <is>
          <t>=D5-D9</t>
        </is>
      </c>
      <c r="D32" t="n">
        <v>5397539407.22</v>
      </c>
      <c r="E32" t="inlineStr">
        <is>
          <t>原台账缓存，未重新计算</t>
        </is>
      </c>
    </row>
    <row r="33">
      <c r="A33" t="inlineStr">
        <is>
          <t>02_经营现金收付结构</t>
        </is>
      </c>
      <c r="B33" t="inlineStr">
        <is>
          <t>E12</t>
        </is>
      </c>
      <c r="C33" t="inlineStr">
        <is>
          <t>=E5-E9</t>
        </is>
      </c>
      <c r="D33" t="n">
        <v>-795897943.829998</v>
      </c>
      <c r="E33" t="inlineStr">
        <is>
          <t>原台账缓存，未重新计算</t>
        </is>
      </c>
    </row>
    <row r="34">
      <c r="A34" t="inlineStr">
        <is>
          <t>02_经营现金收付结构</t>
        </is>
      </c>
      <c r="B34" t="inlineStr">
        <is>
          <t>F12</t>
        </is>
      </c>
      <c r="C34" t="inlineStr">
        <is>
          <t>=F5-F9</t>
        </is>
      </c>
      <c r="D34" t="n">
        <v>-2591549270.7</v>
      </c>
      <c r="E34" t="inlineStr">
        <is>
          <t>原台账缓存，未重新计算</t>
        </is>
      </c>
    </row>
    <row r="35">
      <c r="A35" t="inlineStr">
        <is>
          <t>02_经营现金收付结构</t>
        </is>
      </c>
      <c r="B35" t="inlineStr">
        <is>
          <t>G12</t>
        </is>
      </c>
      <c r="C35" t="inlineStr">
        <is>
          <t>=G5-G9</t>
        </is>
      </c>
      <c r="D35" t="n">
        <v>-2403166821.84</v>
      </c>
      <c r="E35" t="inlineStr">
        <is>
          <t>原台账缓存，未重新计算</t>
        </is>
      </c>
    </row>
    <row r="36">
      <c r="A36" t="inlineStr">
        <is>
          <t>02_经营现金收付结构</t>
        </is>
      </c>
      <c r="B36" t="inlineStr">
        <is>
          <t>H12</t>
        </is>
      </c>
      <c r="C36" t="inlineStr">
        <is>
          <t>=H5-H9</t>
        </is>
      </c>
      <c r="D36" t="n">
        <v>-5538072069.59</v>
      </c>
      <c r="E36" t="inlineStr">
        <is>
          <t>原台账缓存，未重新计算</t>
        </is>
      </c>
    </row>
    <row r="37">
      <c r="A37" t="inlineStr">
        <is>
          <t>05_融资结构与财务弹性</t>
        </is>
      </c>
      <c r="B37" t="inlineStr">
        <is>
          <t>B11</t>
        </is>
      </c>
      <c r="C37" t="inlineStr">
        <is>
          <t>=B7/B8*100</t>
        </is>
      </c>
      <c r="D37" t="n">
        <v>79.55945614056211</v>
      </c>
      <c r="E37" t="inlineStr">
        <is>
          <t>原台账缓存，未重新计算</t>
        </is>
      </c>
    </row>
    <row r="38">
      <c r="A38" t="inlineStr">
        <is>
          <t>05_融资结构与财务弹性</t>
        </is>
      </c>
      <c r="B38" t="inlineStr">
        <is>
          <t>C11</t>
        </is>
      </c>
      <c r="C38" t="inlineStr">
        <is>
          <t>=C7/C8*100</t>
        </is>
      </c>
      <c r="D38" t="n">
        <v>70.7822455616802</v>
      </c>
      <c r="E38" t="inlineStr">
        <is>
          <t>原台账缓存，未重新计算</t>
        </is>
      </c>
    </row>
    <row r="39">
      <c r="A39" t="inlineStr">
        <is>
          <t>05_融资结构与财务弹性</t>
        </is>
      </c>
      <c r="B39" t="inlineStr">
        <is>
          <t>D11</t>
        </is>
      </c>
      <c r="C39" t="inlineStr">
        <is>
          <t>=D7/D8*100</t>
        </is>
      </c>
      <c r="D39" t="n">
        <v>69.92475788343189</v>
      </c>
      <c r="E39" t="inlineStr">
        <is>
          <t>原台账缓存，未重新计算</t>
        </is>
      </c>
    </row>
    <row r="40">
      <c r="A40" t="inlineStr">
        <is>
          <t>05_融资结构与财务弹性</t>
        </is>
      </c>
      <c r="B40" t="inlineStr">
        <is>
          <t>E11</t>
        </is>
      </c>
      <c r="C40" t="inlineStr">
        <is>
          <t>=E7/E8*100</t>
        </is>
      </c>
      <c r="D40" t="n">
        <v>58.8551672103127</v>
      </c>
      <c r="E40" t="inlineStr">
        <is>
          <t>原台账缓存，未重新计算</t>
        </is>
      </c>
    </row>
    <row r="41">
      <c r="A41" t="inlineStr">
        <is>
          <t>05_融资结构与财务弹性</t>
        </is>
      </c>
      <c r="B41" t="inlineStr">
        <is>
          <t>F11</t>
        </is>
      </c>
      <c r="C41" t="inlineStr">
        <is>
          <t>=F7/F8*100</t>
        </is>
      </c>
      <c r="D41" t="n">
        <v>66.0691747591505</v>
      </c>
      <c r="E41" t="inlineStr">
        <is>
          <t>原台账缓存，未重新计算</t>
        </is>
      </c>
    </row>
    <row r="42">
      <c r="A42" t="inlineStr">
        <is>
          <t>05_融资结构与财务弹性</t>
        </is>
      </c>
      <c r="B42" t="inlineStr">
        <is>
          <t>G11</t>
        </is>
      </c>
      <c r="C42" t="inlineStr">
        <is>
          <t>=G7/G8*100</t>
        </is>
      </c>
      <c r="D42" t="n">
        <v>68.58876449507591</v>
      </c>
      <c r="E42" t="inlineStr">
        <is>
          <t>原台账缓存，未重新计算</t>
        </is>
      </c>
    </row>
    <row r="43">
      <c r="A43" t="inlineStr">
        <is>
          <t>05_融资结构与财务弹性</t>
        </is>
      </c>
      <c r="B43" t="inlineStr">
        <is>
          <t>H11</t>
        </is>
      </c>
      <c r="C43" t="inlineStr">
        <is>
          <t>=H7/H8*100</t>
        </is>
      </c>
      <c r="D43" t="n">
        <v>71.7113973774311</v>
      </c>
      <c r="E43" t="inlineStr">
        <is>
          <t>原台账缓存，未重新计算</t>
        </is>
      </c>
    </row>
    <row r="44">
      <c r="A44" t="inlineStr">
        <is>
          <t>05_融资结构与财务弹性</t>
        </is>
      </c>
      <c r="B44" t="inlineStr">
        <is>
          <t>B12</t>
        </is>
      </c>
      <c r="C44" t="inlineStr">
        <is>
          <t>=B3+B4+B5+B6</t>
        </is>
      </c>
      <c r="D44" t="n">
        <v>6028563451.23</v>
      </c>
      <c r="E44" t="inlineStr">
        <is>
          <t>原台账缓存，未重新计算</t>
        </is>
      </c>
    </row>
    <row r="45">
      <c r="A45" t="inlineStr">
        <is>
          <t>05_融资结构与财务弹性</t>
        </is>
      </c>
      <c r="B45" t="inlineStr">
        <is>
          <t>C12</t>
        </is>
      </c>
      <c r="C45" t="inlineStr">
        <is>
          <t>=C3+C4+C5+C6</t>
        </is>
      </c>
      <c r="D45" t="n">
        <v>4528628395.86</v>
      </c>
      <c r="E45" t="inlineStr">
        <is>
          <t>原台账缓存，未重新计算</t>
        </is>
      </c>
    </row>
    <row r="46">
      <c r="A46" t="inlineStr">
        <is>
          <t>05_融资结构与财务弹性</t>
        </is>
      </c>
      <c r="B46" t="inlineStr">
        <is>
          <t>D12</t>
        </is>
      </c>
      <c r="C46" t="inlineStr">
        <is>
          <t>=D3+D4+D5+D6</t>
        </is>
      </c>
      <c r="D46" t="n">
        <v>5082131637.18</v>
      </c>
      <c r="E46" t="inlineStr">
        <is>
          <t>原台账缓存，未重新计算</t>
        </is>
      </c>
    </row>
    <row r="47">
      <c r="A47" t="inlineStr">
        <is>
          <t>05_融资结构与财务弹性</t>
        </is>
      </c>
      <c r="B47" t="inlineStr">
        <is>
          <t>E12</t>
        </is>
      </c>
      <c r="C47" t="inlineStr">
        <is>
          <t>=E3+E4+E5+E6</t>
        </is>
      </c>
      <c r="D47" t="n">
        <v>6959525678.21</v>
      </c>
      <c r="E47" t="inlineStr">
        <is>
          <t>原台账缓存，未重新计算</t>
        </is>
      </c>
    </row>
    <row r="48">
      <c r="A48" t="inlineStr">
        <is>
          <t>05_融资结构与财务弹性</t>
        </is>
      </c>
      <c r="B48" t="inlineStr">
        <is>
          <t>F12</t>
        </is>
      </c>
      <c r="C48" t="inlineStr">
        <is>
          <t>=F3+F4+F5+F6</t>
        </is>
      </c>
      <c r="D48" t="n">
        <v>14006322366.02</v>
      </c>
      <c r="E48" t="inlineStr">
        <is>
          <t>原台账缓存，未重新计算</t>
        </is>
      </c>
    </row>
    <row r="49">
      <c r="A49" t="inlineStr">
        <is>
          <t>05_融资结构与财务弹性</t>
        </is>
      </c>
      <c r="B49" t="inlineStr">
        <is>
          <t>G12</t>
        </is>
      </c>
      <c r="C49" t="inlineStr">
        <is>
          <t>=G3+G4+G5+G6</t>
        </is>
      </c>
      <c r="D49" t="n">
        <v>15697953695.08</v>
      </c>
      <c r="E49" t="inlineStr">
        <is>
          <t>原台账缓存，未重新计算</t>
        </is>
      </c>
    </row>
    <row r="50">
      <c r="A50" t="inlineStr">
        <is>
          <t>05_融资结构与财务弹性</t>
        </is>
      </c>
      <c r="B50" t="inlineStr">
        <is>
          <t>H12</t>
        </is>
      </c>
      <c r="C50" t="inlineStr">
        <is>
          <t>=H3+H4+H5+H6</t>
        </is>
      </c>
      <c r="D50" t="n">
        <v>17670292458.53</v>
      </c>
      <c r="E50" t="inlineStr">
        <is>
          <t>原台账缓存，未重新计算</t>
        </is>
      </c>
    </row>
    <row r="51">
      <c r="A51" t="inlineStr">
        <is>
          <t>06_投资扩张与资金用途</t>
        </is>
      </c>
      <c r="B51" t="inlineStr">
        <is>
          <t>B7</t>
        </is>
      </c>
      <c r="C51" t="inlineStr">
        <is>
          <t>=B3/B6*100</t>
        </is>
      </c>
      <c r="D51" t="n">
        <v>22.302275193875</v>
      </c>
      <c r="E51" t="inlineStr">
        <is>
          <t>原台账缓存，未重新计算</t>
        </is>
      </c>
    </row>
    <row r="52">
      <c r="A52" t="inlineStr">
        <is>
          <t>06_投资扩张与资金用途</t>
        </is>
      </c>
      <c r="B52" t="inlineStr">
        <is>
          <t>C7</t>
        </is>
      </c>
      <c r="C52" t="inlineStr">
        <is>
          <t>=C3/C6*100</t>
        </is>
      </c>
      <c r="D52" t="n">
        <v>14.7216150447556</v>
      </c>
      <c r="E52" t="inlineStr">
        <is>
          <t>原台账缓存，未重新计算</t>
        </is>
      </c>
    </row>
    <row r="53">
      <c r="A53" t="inlineStr">
        <is>
          <t>06_投资扩张与资金用途</t>
        </is>
      </c>
      <c r="B53" t="inlineStr">
        <is>
          <t>D7</t>
        </is>
      </c>
      <c r="C53" t="inlineStr">
        <is>
          <t>=D3/D6*100</t>
        </is>
      </c>
      <c r="D53" t="n">
        <v>27.2002606138639</v>
      </c>
      <c r="E53" t="inlineStr">
        <is>
          <t>原台账缓存，未重新计算</t>
        </is>
      </c>
    </row>
    <row r="54">
      <c r="A54" t="inlineStr">
        <is>
          <t>06_投资扩张与资金用途</t>
        </is>
      </c>
      <c r="B54" t="inlineStr">
        <is>
          <t>E7</t>
        </is>
      </c>
      <c r="C54" t="inlineStr">
        <is>
          <t>=E3/E6*100</t>
        </is>
      </c>
      <c r="D54" t="n">
        <v>26.0477851676461</v>
      </c>
      <c r="E54" t="inlineStr">
        <is>
          <t>原台账缓存，未重新计算</t>
        </is>
      </c>
    </row>
    <row r="55">
      <c r="A55" t="inlineStr">
        <is>
          <t>06_投资扩张与资金用途</t>
        </is>
      </c>
      <c r="B55" t="inlineStr">
        <is>
          <t>F7</t>
        </is>
      </c>
      <c r="C55" t="inlineStr">
        <is>
          <t>=F3/F6*100</t>
        </is>
      </c>
      <c r="D55" t="n">
        <v>27.3180525531127</v>
      </c>
      <c r="E55" t="inlineStr">
        <is>
          <t>原台账缓存，未重新计算</t>
        </is>
      </c>
    </row>
    <row r="56">
      <c r="A56" t="inlineStr">
        <is>
          <t>06_投资扩张与资金用途</t>
        </is>
      </c>
      <c r="B56" t="inlineStr">
        <is>
          <t>G7</t>
        </is>
      </c>
      <c r="C56" t="inlineStr">
        <is>
          <t>=G3/G6*100</t>
        </is>
      </c>
      <c r="D56" t="n">
        <v>20.7934604287152</v>
      </c>
      <c r="E56" t="inlineStr">
        <is>
          <t>原台账缓存，未重新计算</t>
        </is>
      </c>
    </row>
    <row r="57">
      <c r="A57" t="inlineStr">
        <is>
          <t>06_投资扩张与资金用途</t>
        </is>
      </c>
      <c r="B57" t="inlineStr">
        <is>
          <t>H7</t>
        </is>
      </c>
      <c r="C57" t="inlineStr">
        <is>
          <t>=H3/H6*100</t>
        </is>
      </c>
      <c r="D57" t="n">
        <v>6.66214960118035</v>
      </c>
      <c r="E57" t="inlineStr">
        <is>
          <t>原台账缓存，未重新计算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2026-08-30T23:48:00Z</dcterms:created>
  <dcterms:modified xsi:type="dcterms:W3CDTF">2026-10-16T06:33:55Z</dcterms:modified>
  <cp:lastModifiedBy>LYJ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IGC" fmtid="{D5CDD505-2E9C-101B-9397-08002B2CF9AE}" pid="2">
    <vt:lpwstr>{"Label":"1","ContentProducer":"001191110102MACQD9K64010000","ProduceID":"7679728391063112664","ReservedCode1":"","ContentPropagator":"","PropagateID":"","ReservedCode2":""}</vt:lpwstr>
  </property>
  <property name="ICV" fmtid="{D5CDD505-2E9C-101B-9397-08002B2CF9AE}" pid="3">
    <vt:lpwstr>13392709C214AA226BE0936A4EC9C704_42</vt:lpwstr>
  </property>
  <property name="KSOProductBuildVer" fmtid="{D5CDD505-2E9C-101B-9397-08002B2CF9AE}" pid="4">
    <vt:lpwstr>2052-12.1.26055.26055</vt:lpwstr>
  </property>
  <property name="CalculationRule" fmtid="{D5CDD505-2E9C-101B-9397-08002B2CF9AE}" pid="5">
    <vt:i4>0</vt:i4>
  </property>
</Properties>
</file>